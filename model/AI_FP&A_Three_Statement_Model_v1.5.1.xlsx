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20.xml" ContentType="application/vnd.openxmlformats-officedocument.spreadsheetml.worksheet+xml"/>
  <Override PartName="/xl/tables/table1.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b1f35efef844d84" /></Relationships>
</file>

<file path=xl/workbook.xml><?xml version="1.0" encoding="utf-8"?>
<x:workbook xmlns:x="http://schemas.openxmlformats.org/spreadsheetml/2006/main">
  <x:sheets>
    <x:sheet xmlns:r="http://schemas.openxmlformats.org/officeDocument/2006/relationships" name="Control_Center" sheetId="21" r:id="Rdfab4c9d0f874247"/>
    <x:sheet xmlns:r="http://schemas.openxmlformats.org/officeDocument/2006/relationships" name="README" sheetId="1" r:id="R23a6ed3c271f438d"/>
    <x:sheet xmlns:r="http://schemas.openxmlformats.org/officeDocument/2006/relationships" name="Actuals_Input" sheetId="2" r:id="R8751c98ae8984cce"/>
    <x:sheet xmlns:r="http://schemas.openxmlformats.org/officeDocument/2006/relationships" name="Assumptions" sheetId="3" r:id="Rb2451cf35d744117"/>
    <x:sheet xmlns:r="http://schemas.openxmlformats.org/officeDocument/2006/relationships" name="Revenue_Build" sheetId="4" r:id="Rb90c867dcfa34063"/>
    <x:sheet xmlns:r="http://schemas.openxmlformats.org/officeDocument/2006/relationships" name="Income_Statement" sheetId="5" r:id="R81a6f854a2494b02"/>
    <x:sheet xmlns:r="http://schemas.openxmlformats.org/officeDocument/2006/relationships" name="Balance_Sheet" sheetId="6" r:id="R4a7bff2c3de24887"/>
    <x:sheet xmlns:r="http://schemas.openxmlformats.org/officeDocument/2006/relationships" name="Cash_Flow" sheetId="7" r:id="R784eacb6ee51469c"/>
    <x:sheet xmlns:r="http://schemas.openxmlformats.org/officeDocument/2006/relationships" name="Checks" sheetId="8" r:id="R6cf0fcfe0ba04ad8"/>
    <x:sheet xmlns:r="http://schemas.openxmlformats.org/officeDocument/2006/relationships" name="Dashboard" sheetId="9" r:id="Ref391b61d95a4224"/>
    <x:sheet xmlns:r="http://schemas.openxmlformats.org/officeDocument/2006/relationships" name="AI_Commentary" sheetId="10" r:id="R3eeac17b0178461d"/>
    <x:sheet xmlns:r="http://schemas.openxmlformats.org/officeDocument/2006/relationships" name="Raw_Actuals" sheetId="11" r:id="Rc46d5d6535b9446d"/>
    <x:sheet xmlns:r="http://schemas.openxmlformats.org/officeDocument/2006/relationships" name="Account_Map" sheetId="12" r:id="R1fbb8d98f66d448c"/>
    <x:sheet xmlns:r="http://schemas.openxmlformats.org/officeDocument/2006/relationships" name="Actuals_Staging" sheetId="13" r:id="R9a01110625574e94"/>
    <x:sheet xmlns:r="http://schemas.openxmlformats.org/officeDocument/2006/relationships" name="Planning_Assumptions" sheetId="14" r:id="R08ed8ab4ed574eba"/>
    <x:sheet xmlns:r="http://schemas.openxmlformats.org/officeDocument/2006/relationships" name="Budget_2026" sheetId="15" r:id="Rfc6c4798c37943e3"/>
    <x:sheet xmlns:r="http://schemas.openxmlformats.org/officeDocument/2006/relationships" name="Rolling_Forecast" sheetId="16" r:id="R2cf58ac53dc048d5"/>
    <x:sheet xmlns:r="http://schemas.openxmlformats.org/officeDocument/2006/relationships" name="BvA_Analysis" sheetId="17" r:id="R7aa40ce2c91c4353"/>
    <x:sheet xmlns:r="http://schemas.openxmlformats.org/officeDocument/2006/relationships" name="Planning_Dashboard" sheetId="18" r:id="R08b522f396f840d0"/>
    <x:sheet xmlns:r="http://schemas.openxmlformats.org/officeDocument/2006/relationships" name="Power_Query_Control" sheetId="19" r:id="Rfa94311ebac74aa4"/>
    <x:sheet xmlns:r="http://schemas.openxmlformats.org/officeDocument/2006/relationships" name="PQ_Actuals" sheetId="20" r:id="R58bec86cd873469d"/>
    <x:sheet xmlns:r="http://schemas.openxmlformats.org/officeDocument/2006/relationships" name="Portfolio_Guide" sheetId="22" r:id="Ra7f26f963fdf485b"/>
  </x:sheets>
</x:workbook>
</file>

<file path=xl/comments1.xml><?xml version="1.0" encoding="utf-8"?>
<x:comments xmlns:x="http://schemas.openxmlformats.org/spreadsheetml/2006/main">
  <x:authors>
    <x:author>tc={EB0EC0C9-29E7-EE5A-05A3-E37A8A14E184}</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Source: Synthetic portfolio assumption created for a fictional SaaS company.</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6">
    <x:numFmt numFmtId="200" formatCode="$#,##0.0;[Red]($#,##0.0);-"/>
    <x:numFmt numFmtId="201" formatCode="0.0%;[Red](0.0%);-"/>
    <x:numFmt numFmtId="202" formatCode="0.0;[Red](0.0);-"/>
    <x:numFmt numFmtId="203" formatCode="0.000;[Red](0.000);-"/>
    <x:numFmt numFmtId="204" formatCode="mmm-yy"/>
    <x:numFmt numFmtId="205" formatCode="$#,##0.000;[Red]($#,##0.000);-"/>
    <x:numFmt numFmtId="206" formatCode="0.0x"/>
    <x:numFmt numFmtId="207" formatCode="#,##0;[Red](#,##0);-"/>
    <x:numFmt numFmtId="208" formatCode="0.00x"/>
    <x:numFmt numFmtId="209" formatCode="mmm"/>
    <x:numFmt numFmtId="210" formatCode="m/d/yy h:mm AM/PM"/>
    <x:numFmt numFmtId="211" formatCode="$0.000;[Red]($0.000);-"/>
    <x:numFmt numFmtId="212" formatCode="0.0%"/>
    <x:numFmt numFmtId="213" formatCode="$0.0"/>
    <x:numFmt numFmtId="214" formatCode="0"/>
    <x:numFmt numFmtId="215" formatCode="mmm d, yyyy h:mm AM/PM"/>
  </x:numFmts>
  <x:fonts count="48">
    <x:font>
      <x:sz val="11"/>
      <x:name val="Carlito"/>
    </x:font>
    <x:font>
      <x:b/>
      <x:sz val="16"/>
      <x:color rgb="FFFFFFFF"/>
      <x:name val="Carlito"/>
    </x:font>
    <x:font>
      <x:b/>
      <x:sz val="11"/>
      <x:name val="Carlito"/>
    </x:font>
    <x:font>
      <x:b/>
      <x:sz val="11"/>
      <x:color rgb="FFFFFFFF"/>
      <x:name val="Carlito"/>
    </x:font>
    <x:font>
      <x:b/>
      <x:sz val="10"/>
      <x:color rgb="FFFFFFFF"/>
      <x:name val="Arial"/>
    </x:font>
    <x:font>
      <x:sz val="10"/>
      <x:name val="Arial"/>
    </x:font>
    <x:font>
      <x:b/>
      <x:sz val="10"/>
      <x:name val="Arial"/>
    </x:font>
    <x:font>
      <x:i/>
      <x:sz val="11"/>
      <x:name val="Carlito"/>
    </x:font>
    <x:font>
      <x:sz val="11"/>
      <x:color rgb="FF0000FF"/>
      <x:name val="Carlito"/>
    </x:font>
    <x:font>
      <x:i/>
      <x:sz val="10"/>
      <x:name val="Arial"/>
    </x:font>
    <x:font>
      <x:sz val="10"/>
      <x:color rgb="FF0000FF"/>
      <x:name val="Arial"/>
    </x:font>
    <x:font>
      <x:b/>
      <x:sz val="11"/>
      <x:color rgb="FF0000FF"/>
      <x:name val="Carlito"/>
    </x:font>
    <x:font>
      <x:sz val="11"/>
      <x:color rgb="FF000000"/>
      <x:name val="Carlito"/>
    </x:font>
    <x:font>
      <x:b/>
      <x:sz val="10"/>
      <x:color rgb="FF0000FF"/>
      <x:name val="Arial"/>
    </x:font>
    <x:font>
      <x:sz val="10"/>
      <x:color rgb="FF000000"/>
      <x:name val="Arial"/>
    </x:font>
    <x:font>
      <x:sz val="11"/>
      <x:color rgb="FF008000"/>
      <x:name val="Carlito"/>
    </x:font>
    <x:font>
      <x:b/>
      <x:sz val="11"/>
      <x:color rgb="FF008000"/>
      <x:name val="Carlito"/>
    </x:font>
    <x:font>
      <x:b/>
      <x:sz val="10"/>
      <x:color rgb="FF008000"/>
      <x:name val="Arial"/>
    </x:font>
    <x:font>
      <x:sz val="10"/>
      <x:color rgb="FF008000"/>
      <x:name val="Arial"/>
    </x:font>
    <x:font>
      <x:b/>
      <x:sz val="14"/>
      <x:name val="Carlito"/>
    </x:font>
    <x:font>
      <x:b/>
      <x:sz val="14"/>
      <x:color rgb="FF008000"/>
      <x:name val="Carlito"/>
    </x:font>
    <x:font>
      <x:b/>
      <x:sz val="14"/>
      <x:color rgb="FFFFFFFF"/>
      <x:name val="Carlito"/>
    </x:font>
    <x:font>
      <x:i/>
      <x:sz val="11"/>
      <x:color rgb="FF666666"/>
      <x:name val="Carlito"/>
    </x:font>
    <x:font>
      <x:b/>
      <x:sz val="11"/>
      <x:color rgb="FF000000"/>
      <x:name val="Carlito"/>
    </x:font>
    <x:font>
      <x:b/>
      <x:sz val="10"/>
      <x:color rgb="FF000000"/>
      <x:name val="Arial"/>
    </x:font>
    <x:font>
      <x:b/>
      <x:i/>
      <x:sz val="11"/>
      <x:color rgb="FFFFFFFF"/>
      <x:name val="Carlito"/>
    </x:font>
    <x:font>
      <x:b/>
      <x:sz val="10"/>
      <x:color rgb="FFFFFFFF"/>
      <x:name val="Carlito"/>
    </x:font>
    <x:font>
      <x:sz val="10"/>
      <x:name val="Carlito"/>
    </x:font>
    <x:font>
      <x:b/>
      <x:sz val="10"/>
      <x:name val="Carlito"/>
    </x:font>
    <x:font>
      <x:sz val="10"/>
      <x:color rgb="FF008000"/>
      <x:name val="Carlito"/>
    </x:font>
    <x:font>
      <x:sz val="9"/>
      <x:color rgb="FF000000"/>
      <x:name val="Courier New"/>
    </x:font>
    <x:font>
      <x:b/>
      <x:sz val="9"/>
      <x:color rgb="FF000000"/>
      <x:name val="Courier New"/>
    </x:font>
    <x:font>
      <x:i/>
      <x:sz val="10"/>
      <x:color rgb="FF666666"/>
      <x:name val="Carlito"/>
    </x:font>
    <x:font>
      <x:b/>
      <x:sz val="11"/>
      <x:color rgb="FF1F4E78"/>
      <x:name val="Carlito"/>
    </x:font>
    <x:font>
      <x:sz val="1"/>
      <x:color rgb="FFFFFFFF"/>
      <x:name val="Carlito"/>
    </x:font>
    <x:font>
      <x:i/>
      <x:sz val="10"/>
      <x:color rgb="FF666666"/>
      <x:name val="Arial"/>
    </x:font>
    <x:font>
      <x:b/>
      <x:sz val="11"/>
      <x:color rgb="FF17365D"/>
      <x:name val="Carlito"/>
    </x:font>
    <x:font>
      <x:b/>
      <x:sz val="11"/>
      <x:color rgb="FFFF0000"/>
      <x:name val="Carlito"/>
    </x:font>
    <x:font>
      <x:b/>
      <x:sz val="11"/>
      <x:color rgb="FF006100"/>
      <x:name val="Carlito"/>
    </x:font>
    <x:font>
      <x:b/>
      <x:sz val="10"/>
      <x:color rgb="FF17365D"/>
      <x:name val="Carlito"/>
    </x:font>
    <x:font>
      <x:b/>
      <x:sz val="10"/>
      <x:color rgb="FF1F4E78"/>
      <x:name val="Carlito"/>
    </x:font>
    <x:font>
      <x:b/>
      <x:sz val="10"/>
      <x:color rgb="FF0000FF"/>
      <x:name val="Carlito"/>
    </x:font>
    <x:font>
      <x:b/>
      <x:sz val="10"/>
      <x:color rgb="FF008000"/>
      <x:name val="Carlito"/>
    </x:font>
    <x:font>
      <x:b/>
      <x:sz val="10"/>
      <x:color rgb="FF000000"/>
      <x:name val="Carlito"/>
    </x:font>
    <x:font>
      <x:b/>
      <x:sz val="10"/>
      <x:color rgb="FFFF0000"/>
      <x:name val="Carlito"/>
    </x:font>
    <x:font>
      <x:b/>
      <x:sz val="10"/>
      <x:color rgb="FF006100"/>
      <x:name val="Carlito"/>
    </x:font>
    <x:font>
      <x:b/>
      <x:sz val="10"/>
      <x:color rgb="FF1F4E78"/>
      <x:name val="Arial"/>
    </x:font>
    <x:font>
      <x:b/>
      <x:sz val="11"/>
      <x:color rgb="FF166534"/>
      <x:name val="Carlito"/>
    </x:font>
  </x:fonts>
  <x:fills count="3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AF3F8"/>
      </x:patternFill>
    </x:fill>
    <x:fill>
      <x:patternFill patternType="solid">
        <x:fgColor rgb="FF17365D"/>
      </x:patternFill>
    </x:fill>
    <x:fill>
      <x:patternFill patternType="solid">
        <x:fgColor rgb="FFF2F2F2"/>
      </x:patternFill>
    </x:fill>
    <x:fill>
      <x:patternFill patternType="solid">
        <x:fgColor rgb="FFFAFAFA"/>
      </x:patternFill>
    </x:fill>
    <x:fill>
      <x:patternFill patternType="solid">
        <x:fgColor rgb="FF17365D"/>
      </x:patternFill>
    </x:fill>
    <x:fill>
      <x:patternFill patternType="solid">
        <x:fgColor rgb="FFFFF2CC"/>
      </x:patternFill>
    </x:fill>
    <x:fill>
      <x:patternFill patternType="solid">
        <x:fgColor rgb="FFF2F2F2"/>
      </x:patternFill>
    </x:fill>
    <x:fill>
      <x:patternFill patternType="solid">
        <x:fgColor rgb="FFEAF2F8"/>
      </x:patternFill>
    </x:fill>
    <x:fill>
      <x:patternFill patternType="solid">
        <x:fgColor rgb="FFF2F2F2"/>
      </x:patternFill>
    </x:fill>
    <x:fill>
      <x:patternFill patternType="solid">
        <x:fgColor rgb="FF17365D"/>
      </x:patternFill>
    </x:fill>
    <x:fill>
      <x:patternFill patternType="solid">
        <x:fgColor rgb="FFFFFFFF"/>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3F3F3"/>
      </x:patternFill>
    </x:fill>
    <x:fill>
      <x:patternFill patternType="solid">
        <x:fgColor rgb="FF006100"/>
      </x:patternFill>
    </x:fill>
    <x:fill>
      <x:patternFill patternType="solid">
        <x:fgColor rgb="FF1F4E78"/>
      </x:patternFill>
    </x:fill>
    <x:fill>
      <x:patternFill patternType="solid">
        <x:fgColor rgb="FFF8FAFC"/>
      </x:patternFill>
    </x:fill>
    <x:fill>
      <x:patternFill patternType="solid">
        <x:fgColor rgb="FFD9EAF7"/>
      </x:patternFill>
    </x:fill>
    <x:fill>
      <x:patternFill patternType="solid">
        <x:fgColor rgb="FFEAF2F8"/>
      </x:patternFill>
    </x:fill>
    <x:fill>
      <x:patternFill patternType="solid">
        <x:fgColor rgb="FFFFFFFF"/>
      </x:patternFill>
    </x:fill>
    <x:fill>
      <x:patternFill patternType="solid">
        <x:fgColor rgb="FFFFF2CC"/>
      </x:patternFill>
    </x:fill>
    <x:fill>
      <x:patternFill patternType="solid">
        <x:fgColor rgb="FF17365D"/>
      </x:patternFill>
    </x:fill>
    <x:fill>
      <x:patternFill patternType="solid">
        <x:fgColor rgb="FFC6EFCE"/>
      </x:patternFill>
    </x:fill>
    <x:fill>
      <x:patternFill patternType="solid">
        <x:fgColor rgb="FFDCFCE7"/>
      </x:patternFill>
    </x:fill>
  </x:fills>
  <x:borders count="6">
    <x:border/>
    <x:border/>
    <x:border>
      <x:top style="thin">
        <x:color rgb="FF000000"/>
      </x:top>
    </x:border>
    <x:border>
      <x:top style="thin">
        <x:color rgb="FF000000"/>
      </x:top>
    </x:border>
    <x:border>
      <x:bottom style="hair">
        <x:color rgb="FFD9D9D9"/>
      </x:bottom>
    </x:border>
    <x:border>
      <x:top style="thin">
        <x:color rgb="FF7F7F7F"/>
      </x:top>
    </x:border>
  </x:borders>
  <x:cellStyleXfs count="1">
    <x:xf numFmtId="0" fontId="0" fillId="0" borderId="0"/>
  </x:cellStyleXfs>
  <x:cellXfs count="55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2" fillId="0" borderId="0" xfId="0" applyNumberFormat="1" applyFont="1" applyFill="1" applyBorder="1"/>
    <x:xf numFmtId="0" fontId="2"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0" xfId="0" applyNumberFormat="1" applyFont="1" applyFill="1" applyBorder="1" applyAlignment="1">
      <x:alignment wrapText="1"/>
    </x:xf>
    <x:xf numFmtId="0" fontId="2" fillId="5" borderId="1" xfId="0" applyNumberFormat="1" applyFont="1" applyFill="1" applyBorder="1" applyAlignment="1">
      <x:alignment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x:xf numFmtId="0" fontId="5" fillId="0" borderId="0" xfId="0" applyNumberFormat="1" applyFont="1" applyFill="1" applyBorder="1" applyAlignment="1">
      <x:alignment vertical="top" wrapText="1"/>
    </x:xf>
    <x:xf numFmtId="0" fontId="4" fillId="2" borderId="0" xfId="0" applyNumberFormat="1" applyFont="1" applyFill="1" applyBorder="1" applyAlignment="1">
      <x:alignment horizontal="left"/>
    </x:xf>
    <x:xf numFmtId="0" fontId="6" fillId="0" borderId="0" xfId="0" applyNumberFormat="1" applyFont="1" applyFill="1" applyBorder="1"/>
    <x:xf numFmtId="0" fontId="5" fillId="0" borderId="0" xfId="0" applyNumberFormat="1" applyFont="1" applyFill="1" applyBorder="1" applyAlignment="1">
      <x:alignment wrapText="1"/>
    </x:xf>
    <x:xf numFmtId="0" fontId="6" fillId="4" borderId="0" xfId="0" applyNumberFormat="1" applyFont="1" applyFill="1" applyBorder="1" applyAlignment="1">
      <x:alignment wrapText="1"/>
    </x:xf>
    <x:xf numFmtId="0" fontId="6" fillId="5" borderId="0" xfId="0" applyNumberFormat="1" applyFont="1" applyFill="1" applyBorder="1" applyAlignment="1">
      <x:alignment wrapText="1"/>
    </x:xf>
    <x:xf numFmtId="0" fontId="4" fillId="2" borderId="1" xfId="0" applyNumberFormat="1" applyFont="1" applyFill="1" applyBorder="1" applyAlignment="1">
      <x:alignment vertical="center"/>
    </x:xf>
    <x:xf numFmtId="0" fontId="5" fillId="0" borderId="1" xfId="0" applyNumberFormat="1" applyFont="1" applyFill="1" applyBorder="1"/>
    <x:xf numFmtId="0" fontId="6" fillId="3" borderId="1" xfId="0" applyNumberFormat="1" applyFont="1" applyFill="1" applyBorder="1"/>
    <x:xf numFmtId="0" fontId="5" fillId="0" borderId="1" xfId="0" applyNumberFormat="1" applyFont="1" applyFill="1" applyBorder="1" applyAlignment="1">
      <x:alignment vertical="top" wrapText="1"/>
    </x:xf>
    <x:xf numFmtId="0" fontId="4" fillId="2" borderId="1" xfId="0" applyNumberFormat="1" applyFont="1" applyFill="1" applyBorder="1" applyAlignment="1">
      <x:alignment horizontal="left"/>
    </x:xf>
    <x:xf numFmtId="0" fontId="6" fillId="0" borderId="1" xfId="0" applyNumberFormat="1" applyFont="1" applyFill="1" applyBorder="1"/>
    <x:xf numFmtId="0" fontId="5" fillId="0" borderId="1" xfId="0" applyNumberFormat="1" applyFont="1" applyFill="1" applyBorder="1" applyAlignment="1">
      <x:alignment wrapText="1"/>
    </x:xf>
    <x:xf numFmtId="0" fontId="6" fillId="4" borderId="1" xfId="0" applyNumberFormat="1" applyFont="1" applyFill="1" applyBorder="1" applyAlignment="1">
      <x:alignment wrapText="1"/>
    </x:xf>
    <x:xf numFmtId="0" fontId="6" fillId="5" borderId="1"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200" fontId="8" fillId="0" borderId="0" xfId="0" applyNumberFormat="1" applyFont="1" applyFill="1" applyBorder="1"/>
    <x:xf numFmtId="200" fontId="8" fillId="0" borderId="1" xfId="0" applyNumberFormat="1" applyFont="1" applyFill="1" applyBorder="1"/>
    <x:xf numFmtId="0" fontId="9" fillId="0" borderId="0" xfId="0" applyNumberFormat="1" applyFont="1" applyFill="1" applyBorder="1"/>
    <x:xf numFmtId="0" fontId="6" fillId="4" borderId="0" xfId="0" applyNumberFormat="1" applyFont="1" applyFill="1" applyBorder="1"/>
    <x:xf numFmtId="200" fontId="10" fillId="0" borderId="0" xfId="0" applyNumberFormat="1" applyFont="1" applyFill="1" applyBorder="1"/>
    <x:xf numFmtId="0" fontId="9" fillId="0" borderId="1" xfId="0" applyNumberFormat="1" applyFont="1" applyFill="1" applyBorder="1"/>
    <x:xf numFmtId="0" fontId="6" fillId="4" borderId="1" xfId="0" applyNumberFormat="1" applyFont="1" applyFill="1" applyBorder="1"/>
    <x:xf numFmtId="200" fontId="10" fillId="0" borderId="1" xfId="0" applyNumberFormat="1" applyFont="1" applyFill="1" applyBorder="1"/>
    <x:xf numFmtId="0" fontId="11" fillId="0" borderId="0" xfId="0" applyNumberFormat="1" applyFont="1" applyFill="1" applyBorder="1"/>
    <x:xf numFmtId="0" fontId="11" fillId="0" borderId="1" xfId="0" applyNumberFormat="1" applyFont="1" applyFill="1" applyBorder="1"/>
    <x:xf numFmtId="0" fontId="11" fillId="5" borderId="0" xfId="0" applyNumberFormat="1" applyFont="1" applyFill="1" applyBorder="1"/>
    <x:xf numFmtId="0" fontId="11" fillId="5" borderId="1" xfId="0" applyNumberFormat="1" applyFont="1" applyFill="1" applyBorder="1"/>
    <x:xf numFmtId="0" fontId="2" fillId="4" borderId="0" xfId="0" applyNumberFormat="1" applyFont="1" applyFill="1" applyBorder="1" applyAlignment="1">
      <x:alignment horizontal="right"/>
    </x:xf>
    <x:xf numFmtId="0" fontId="2" fillId="4" borderId="1" xfId="0" applyNumberFormat="1" applyFont="1" applyFill="1" applyBorder="1" applyAlignment="1">
      <x:alignment horizontal="right"/>
    </x:xf>
    <x:xf numFmtId="0" fontId="2" fillId="4" borderId="0" xfId="0" applyNumberFormat="1" applyFont="1" applyFill="1" applyBorder="1" applyAlignment="1">
      <x:alignment horizontal="left"/>
    </x:xf>
    <x:xf numFmtId="0" fontId="2" fillId="4" borderId="1" xfId="0" applyNumberFormat="1" applyFont="1" applyFill="1" applyBorder="1" applyAlignment="1">
      <x:alignment horizontal="left"/>
    </x:xf>
    <x:xf numFmtId="0" fontId="12" fillId="0" borderId="0" xfId="0" applyNumberFormat="1" applyFont="1" applyFill="1" applyBorder="1"/>
    <x:xf numFmtId="0" fontId="12" fillId="0" borderId="1" xfId="0" applyNumberFormat="1" applyFont="1" applyFill="1" applyBorder="1"/>
    <x:xf numFmtId="201" fontId="12" fillId="0" borderId="0" xfId="0" applyNumberFormat="1" applyFont="1" applyFill="1" applyBorder="1"/>
    <x:xf numFmtId="201" fontId="12" fillId="0" borderId="1" xfId="0" applyNumberFormat="1" applyFont="1" applyFill="1" applyBorder="1"/>
    <x:xf numFmtId="202" fontId="12" fillId="0" borderId="0" xfId="0" applyNumberFormat="1" applyFont="1" applyFill="1" applyBorder="1"/>
    <x:xf numFmtId="202" fontId="12" fillId="0" borderId="1" xfId="0" applyNumberFormat="1" applyFont="1" applyFill="1" applyBorder="1"/>
    <x:xf numFmtId="201" fontId="8" fillId="0" borderId="0" xfId="0" applyNumberFormat="1" applyFont="1" applyFill="1" applyBorder="1"/>
    <x:xf numFmtId="201" fontId="8" fillId="0" borderId="1" xfId="0" applyNumberFormat="1" applyFont="1" applyFill="1" applyBorder="1"/>
    <x:xf numFmtId="202" fontId="8" fillId="0" borderId="0" xfId="0" applyNumberFormat="1" applyFont="1" applyFill="1" applyBorder="1"/>
    <x:xf numFmtId="202" fontId="8" fillId="0" borderId="1" xfId="0" applyNumberFormat="1" applyFont="1" applyFill="1" applyBorder="1"/>
    <x:xf numFmtId="0" fontId="13" fillId="5" borderId="0" xfId="0" applyNumberFormat="1" applyFont="1" applyFill="1" applyBorder="1"/>
    <x:xf numFmtId="0" fontId="6" fillId="4" borderId="0" xfId="0" applyNumberFormat="1" applyFont="1" applyFill="1" applyBorder="1" applyAlignment="1">
      <x:alignment horizontal="left"/>
    </x:xf>
    <x:xf numFmtId="0" fontId="6" fillId="4" borderId="0" xfId="0" applyNumberFormat="1" applyFont="1" applyFill="1" applyBorder="1" applyAlignment="1">
      <x:alignment horizontal="right"/>
    </x:xf>
    <x:xf numFmtId="201" fontId="14" fillId="0" borderId="0" xfId="0" applyNumberFormat="1" applyFont="1" applyFill="1" applyBorder="1"/>
    <x:xf numFmtId="202" fontId="14" fillId="0" borderId="0" xfId="0" applyNumberFormat="1" applyFont="1" applyFill="1" applyBorder="1"/>
    <x:xf numFmtId="201" fontId="10" fillId="0" borderId="0" xfId="0" applyNumberFormat="1" applyFont="1" applyFill="1" applyBorder="1"/>
    <x:xf numFmtId="202" fontId="10" fillId="0" borderId="0" xfId="0" applyNumberFormat="1" applyFont="1" applyFill="1" applyBorder="1"/>
    <x:xf numFmtId="0" fontId="13" fillId="5" borderId="1" xfId="0" applyNumberFormat="1" applyFont="1" applyFill="1" applyBorder="1"/>
    <x:xf numFmtId="0" fontId="6" fillId="4" borderId="1" xfId="0" applyNumberFormat="1" applyFont="1" applyFill="1" applyBorder="1" applyAlignment="1">
      <x:alignment horizontal="left"/>
    </x:xf>
    <x:xf numFmtId="0" fontId="6" fillId="4" borderId="1" xfId="0" applyNumberFormat="1" applyFont="1" applyFill="1" applyBorder="1" applyAlignment="1">
      <x:alignment horizontal="right"/>
    </x:xf>
    <x:xf numFmtId="201" fontId="14" fillId="0" borderId="1" xfId="0" applyNumberFormat="1" applyFont="1" applyFill="1" applyBorder="1"/>
    <x:xf numFmtId="202" fontId="14" fillId="0" borderId="1" xfId="0" applyNumberFormat="1" applyFont="1" applyFill="1" applyBorder="1"/>
    <x:xf numFmtId="201" fontId="10" fillId="0" borderId="1" xfId="0" applyNumberFormat="1" applyFont="1" applyFill="1" applyBorder="1"/>
    <x:xf numFmtId="202" fontId="10" fillId="0" borderId="1" xfId="0" applyNumberFormat="1" applyFont="1" applyFill="1" applyBorder="1"/>
    <x:xf numFmtId="0" fontId="15" fillId="0" borderId="0" xfId="0" applyNumberFormat="1" applyFont="1" applyFill="1" applyBorder="1"/>
    <x:xf numFmtId="0" fontId="15" fillId="0" borderId="1" xfId="0" applyNumberFormat="1" applyFont="1" applyFill="1" applyBorder="1"/>
    <x:xf numFmtId="200" fontId="15" fillId="0" borderId="0" xfId="0" applyNumberFormat="1" applyFont="1" applyFill="1" applyBorder="1"/>
    <x:xf numFmtId="200" fontId="0" fillId="0" borderId="0" xfId="0" applyNumberFormat="1" applyFont="1" applyFill="1" applyBorder="1"/>
    <x:xf numFmtId="200" fontId="15" fillId="0" borderId="1"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16" fillId="0" borderId="0" xfId="0" applyNumberFormat="1" applyFont="1" applyFill="1" applyBorder="1"/>
    <x:xf numFmtId="200" fontId="2" fillId="0" borderId="0" xfId="0" applyNumberFormat="1" applyFont="1" applyFill="1" applyBorder="1"/>
    <x:xf numFmtId="200" fontId="16" fillId="0" borderId="1" xfId="0" applyNumberFormat="1" applyFont="1" applyFill="1" applyBorder="1"/>
    <x:xf numFmtId="200" fontId="2" fillId="0" borderId="1" xfId="0" applyNumberFormat="1" applyFont="1" applyFill="1" applyBorder="1"/>
    <x:xf numFmtId="0" fontId="2" fillId="0" borderId="2" xfId="0" applyNumberFormat="1" applyFont="1" applyFill="1" applyBorder="1"/>
    <x:xf numFmtId="200" fontId="16" fillId="0" borderId="2" xfId="0" applyNumberFormat="1" applyFont="1" applyFill="1" applyBorder="1"/>
    <x:xf numFmtId="200" fontId="2" fillId="0" borderId="2" xfId="0" applyNumberFormat="1" applyFont="1" applyFill="1" applyBorder="1"/>
    <x:xf numFmtId="0" fontId="2" fillId="0" borderId="3" xfId="0" applyNumberFormat="1" applyFont="1" applyFill="1" applyBorder="1"/>
    <x:xf numFmtId="200" fontId="16" fillId="0" borderId="3" xfId="0" applyNumberFormat="1" applyFont="1" applyFill="1" applyBorder="1"/>
    <x:xf numFmtId="200" fontId="2" fillId="0" borderId="3" xfId="0" applyNumberFormat="1" applyFont="1" applyFill="1" applyBorder="1"/>
    <x:xf numFmtId="0" fontId="6" fillId="0" borderId="2" xfId="0" applyNumberFormat="1" applyFont="1" applyFill="1" applyBorder="1"/>
    <x:xf numFmtId="200" fontId="17" fillId="0" borderId="2" xfId="0" applyNumberFormat="1" applyFont="1" applyFill="1" applyBorder="1"/>
    <x:xf numFmtId="200" fontId="6" fillId="0" borderId="2" xfId="0" applyNumberFormat="1" applyFont="1" applyFill="1" applyBorder="1"/>
    <x:xf numFmtId="201" fontId="5" fillId="0" borderId="0" xfId="0" applyNumberFormat="1" applyFont="1" applyFill="1" applyBorder="1"/>
    <x:xf numFmtId="0" fontId="18" fillId="0" borderId="0" xfId="0" applyNumberFormat="1" applyFont="1" applyFill="1" applyBorder="1"/>
    <x:xf numFmtId="0" fontId="6" fillId="0" borderId="3" xfId="0" applyNumberFormat="1" applyFont="1" applyFill="1" applyBorder="1"/>
    <x:xf numFmtId="200" fontId="17" fillId="0" borderId="3" xfId="0" applyNumberFormat="1" applyFont="1" applyFill="1" applyBorder="1"/>
    <x:xf numFmtId="200" fontId="6" fillId="0" borderId="3" xfId="0" applyNumberFormat="1" applyFont="1" applyFill="1" applyBorder="1"/>
    <x:xf numFmtId="201" fontId="5" fillId="0" borderId="1" xfId="0" applyNumberFormat="1" applyFont="1" applyFill="1" applyBorder="1"/>
    <x:xf numFmtId="0" fontId="18" fillId="0" borderId="1" xfId="0" applyNumberFormat="1" applyFont="1" applyFill="1" applyBorder="1"/>
    <x:xf numFmtId="200" fontId="18" fillId="0" borderId="0" xfId="0" applyNumberFormat="1" applyFont="1" applyFill="1" applyBorder="1"/>
    <x:xf numFmtId="200" fontId="5" fillId="0" borderId="0" xfId="0" applyNumberFormat="1" applyFont="1" applyFill="1" applyBorder="1"/>
    <x:xf numFmtId="200" fontId="18" fillId="0" borderId="1" xfId="0" applyNumberFormat="1" applyFont="1" applyFill="1" applyBorder="1"/>
    <x:xf numFmtId="200" fontId="5"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3" fontId="2" fillId="0" borderId="0" xfId="0" applyNumberFormat="1" applyFont="1" applyFill="1" applyBorder="1"/>
    <x:xf numFmtId="203" fontId="2" fillId="0" borderId="1" xfId="0" applyNumberFormat="1" applyFont="1" applyFill="1" applyBorder="1"/>
    <x:xf numFmtId="203" fontId="2" fillId="0" borderId="2" xfId="0" applyNumberFormat="1" applyFont="1" applyFill="1" applyBorder="1"/>
    <x:xf numFmtId="203" fontId="2" fillId="0" borderId="3" xfId="0" applyNumberFormat="1" applyFont="1" applyFill="1" applyBorder="1"/>
    <x:xf numFmtId="203" fontId="6" fillId="0" borderId="2" xfId="0" applyNumberFormat="1" applyFont="1" applyFill="1" applyBorder="1"/>
    <x:xf numFmtId="203" fontId="6" fillId="0" borderId="3" xfId="0" applyNumberFormat="1" applyFont="1" applyFill="1" applyBorder="1"/>
    <x:xf numFmtId="203" fontId="5" fillId="0" borderId="0" xfId="0" applyNumberFormat="1" applyFont="1" applyFill="1" applyBorder="1"/>
    <x:xf numFmtId="203" fontId="5" fillId="0" borderId="1"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19" fillId="6" borderId="0" xfId="0" applyNumberFormat="1" applyFont="1" applyFill="1" applyBorder="1"/>
    <x:xf numFmtId="0" fontId="19" fillId="6" borderId="1" xfId="0" applyNumberFormat="1" applyFont="1" applyFill="1" applyBorder="1"/>
    <x:xf numFmtId="0" fontId="19" fillId="6" borderId="0" xfId="0" applyNumberFormat="1" applyFont="1" applyFill="1" applyBorder="1" applyAlignment="1">
      <x:alignment horizontal="center"/>
    </x:xf>
    <x:xf numFmtId="0" fontId="19" fillId="6" borderId="1" xfId="0" applyNumberFormat="1" applyFont="1" applyFill="1" applyBorder="1" applyAlignment="1">
      <x:alignment horizontal="center"/>
    </x:xf>
    <x:xf numFmtId="0" fontId="19" fillId="6" borderId="0" xfId="0" applyNumberFormat="1" applyFont="1" applyFill="1" applyBorder="1" applyAlignment="1">
      <x:alignment horizontal="center" vertical="center"/>
    </x:xf>
    <x:xf numFmtId="0" fontId="19" fillId="6" borderId="1" xfId="0" applyNumberFormat="1" applyFont="1" applyFill="1" applyBorder="1" applyAlignment="1">
      <x:alignment horizontal="center" vertical="center"/>
    </x:xf>
    <x:xf numFmtId="0" fontId="20" fillId="6" borderId="0" xfId="0" applyNumberFormat="1" applyFont="1" applyFill="1" applyBorder="1" applyAlignment="1">
      <x:alignment horizontal="center" vertical="center"/>
    </x:xf>
    <x:xf numFmtId="0" fontId="20" fillId="6" borderId="1" xfId="0" applyNumberFormat="1" applyFont="1" applyFill="1" applyBorder="1" applyAlignment="1">
      <x:alignment horizontal="center" vertical="center"/>
    </x:xf>
    <x:xf numFmtId="200" fontId="19" fillId="6" borderId="0" xfId="0" applyNumberFormat="1" applyFont="1" applyFill="1" applyBorder="1" applyAlignment="1">
      <x:alignment horizontal="center" vertical="center"/>
    </x:xf>
    <x:xf numFmtId="200" fontId="19" fillId="6" borderId="1" xfId="0" applyNumberFormat="1" applyFont="1" applyFill="1" applyBorder="1" applyAlignment="1">
      <x:alignment horizontal="center" vertical="center"/>
    </x:xf>
    <x:xf numFmtId="201" fontId="19" fillId="6" borderId="0" xfId="0" applyNumberFormat="1" applyFont="1" applyFill="1" applyBorder="1" applyAlignment="1">
      <x:alignment horizontal="center" vertical="center"/>
    </x:xf>
    <x:xf numFmtId="201" fontId="19" fillId="6" borderId="1" xfId="0" applyNumberFormat="1" applyFont="1" applyFill="1" applyBorder="1" applyAlignment="1">
      <x:alignment horizontal="center" vertical="center"/>
    </x:xf>
    <x:xf numFmtId="202" fontId="0" fillId="0" borderId="0" xfId="0" applyNumberFormat="1" applyFont="1" applyFill="1" applyBorder="1"/>
    <x:xf numFmtId="202" fontId="0" fillId="0" borderId="1" xfId="0" applyNumberFormat="1" applyFont="1" applyFill="1" applyBorder="1"/>
    <x:xf numFmtId="0" fontId="4" fillId="2" borderId="0" xfId="0" applyNumberFormat="1" applyFont="1" applyFill="1" applyBorder="1" applyAlignment="1">
      <x:alignment horizontal="center"/>
    </x:xf>
    <x:xf numFmtId="0" fontId="17" fillId="6" borderId="0" xfId="0" applyNumberFormat="1" applyFont="1" applyFill="1" applyBorder="1" applyAlignment="1">
      <x:alignment horizontal="center" vertical="center"/>
    </x:xf>
    <x:xf numFmtId="200" fontId="6" fillId="6" borderId="0" xfId="0" applyNumberFormat="1" applyFont="1" applyFill="1" applyBorder="1" applyAlignment="1">
      <x:alignment horizontal="center" vertical="center"/>
    </x:xf>
    <x:xf numFmtId="201" fontId="6" fillId="6" borderId="0" xfId="0" applyNumberFormat="1" applyFont="1" applyFill="1" applyBorder="1" applyAlignment="1">
      <x:alignment horizontal="center" vertical="center"/>
    </x:xf>
    <x:xf numFmtId="202" fontId="5" fillId="0" borderId="0" xfId="0" applyNumberFormat="1" applyFont="1" applyFill="1" applyBorder="1"/>
    <x:xf numFmtId="0" fontId="4" fillId="2" borderId="1" xfId="0" applyNumberFormat="1" applyFont="1" applyFill="1" applyBorder="1" applyAlignment="1">
      <x:alignment horizontal="center"/>
    </x:xf>
    <x:xf numFmtId="0" fontId="17" fillId="6" borderId="1" xfId="0" applyNumberFormat="1" applyFont="1" applyFill="1" applyBorder="1" applyAlignment="1">
      <x:alignment horizontal="center" vertical="center"/>
    </x:xf>
    <x:xf numFmtId="200" fontId="6" fillId="6" borderId="1" xfId="0" applyNumberFormat="1" applyFont="1" applyFill="1" applyBorder="1" applyAlignment="1">
      <x:alignment horizontal="center" vertical="center"/>
    </x:xf>
    <x:xf numFmtId="201" fontId="6" fillId="6" borderId="1" xfId="0" applyNumberFormat="1" applyFont="1" applyFill="1" applyBorder="1" applyAlignment="1">
      <x:alignment horizontal="center" vertical="center"/>
    </x:xf>
    <x:xf numFmtId="202" fontId="5" fillId="0" borderId="1" xfId="0" applyNumberFormat="1" applyFont="1" applyFill="1" applyBorder="1"/>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5" fillId="6" borderId="0" xfId="0" applyNumberFormat="1" applyFont="1" applyFill="1" applyBorder="1" applyAlignment="1">
      <x:alignment vertical="top" wrapText="1"/>
    </x:xf>
    <x:xf numFmtId="0" fontId="5" fillId="5" borderId="0"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5" borderId="1" xfId="0" applyNumberFormat="1" applyFont="1" applyFill="1" applyBorder="1" applyAlignment="1">
      <x:alignment wrapText="1"/>
    </x:xf>
    <x:xf numFmtId="0" fontId="0" fillId="0" borderId="0" xfId="0" applyNumberFormat="1" applyFont="1" applyFill="1" applyBorder="1"/>
    <x:xf numFmtId="0" fontId="0" fillId="7" borderId="0" xfId="0" applyNumberFormat="1" applyFont="1" applyFill="1" applyBorder="1"/>
    <x:xf numFmtId="0" fontId="21" fillId="7" borderId="0" xfId="0" applyNumberFormat="1" applyFont="1" applyFill="1" applyBorder="1"/>
    <x:xf numFmtId="0" fontId="21" fillId="7" borderId="0" xfId="0" applyNumberFormat="1" applyFont="1" applyFill="1" applyBorder="1" applyAlignment="1">
      <x:alignment horizontal="left"/>
    </x:xf>
    <x:xf numFmtId="0" fontId="21" fillId="7" borderId="0" xfId="0" applyNumberFormat="1" applyFont="1" applyFill="1" applyBorder="1" applyAlignment="1">
      <x:alignment horizontal="left" vertical="center"/>
    </x:xf>
    <x:xf numFmtId="0" fontId="22" fillId="0" borderId="0" xfId="0" applyNumberFormat="1" applyFont="1" applyFill="1" applyBorder="1"/>
    <x:xf numFmtId="0" fontId="22" fillId="0" borderId="0" xfId="0" applyNumberFormat="1" applyFont="1" applyFill="1" applyBorder="1" applyAlignment="1">
      <x:alignment wrapText="1"/>
    </x:xf>
    <x:xf numFmtId="0" fontId="3" fillId="7" borderId="0" xfId="0" applyNumberFormat="1" applyFont="1" applyFill="1" applyBorder="1"/>
    <x:xf numFmtId="0" fontId="3" fillId="7" borderId="0" xfId="0" applyNumberFormat="1" applyFont="1" applyFill="1" applyBorder="1" applyAlignment="1">
      <x:alignment horizontal="left"/>
    </x:xf>
    <x:xf numFmtId="0" fontId="3" fillId="7" borderId="0" xfId="0" applyNumberFormat="1" applyFont="1" applyFill="1" applyBorder="1" applyAlignment="1">
      <x:alignment horizontal="left" vertical="center"/>
    </x:xf>
    <x:xf numFmtId="0" fontId="0" fillId="8" borderId="0" xfId="0" applyNumberFormat="1" applyFont="1" applyFill="1" applyBorder="1"/>
    <x:xf numFmtId="0" fontId="23" fillId="8" borderId="0" xfId="0" applyNumberFormat="1" applyFont="1" applyFill="1" applyBorder="1"/>
    <x:xf numFmtId="0" fontId="23" fillId="8" borderId="0" xfId="0" applyNumberFormat="1" applyFont="1" applyFill="1" applyBorder="1" applyAlignment="1">
      <x:alignment wrapText="1"/>
    </x:xf>
    <x:xf numFmtId="0" fontId="23" fillId="8" borderId="0" xfId="0" applyNumberFormat="1" applyFont="1" applyFill="1" applyBorder="1" applyAlignment="1">
      <x:alignment horizontal="center" wrapText="1"/>
    </x:xf>
    <x:xf numFmtId="0" fontId="23" fillId="8" borderId="0" xfId="0" applyNumberFormat="1" applyFont="1" applyFill="1" applyBorder="1" applyAlignment="1">
      <x:alignment horizontal="center" vertical="center" wrapText="1"/>
    </x:xf>
    <x:xf numFmtId="204" fontId="8" fillId="0" borderId="0" xfId="0" applyNumberFormat="1" applyFont="1" applyFill="1" applyBorder="1"/>
    <x:xf numFmtId="205" fontId="8" fillId="0" borderId="0" xfId="0" applyNumberFormat="1" applyFont="1" applyFill="1" applyBorder="1"/>
    <x:xf numFmtId="0" fontId="0" fillId="9" borderId="0" xfId="0" applyNumberFormat="1" applyFont="1" applyFill="1" applyBorder="1"/>
    <x:xf numFmtId="204" fontId="0" fillId="9" borderId="0" xfId="0" applyNumberFormat="1" applyFont="1" applyFill="1" applyBorder="1"/>
    <x:xf numFmtId="205" fontId="0" fillId="9" borderId="0" xfId="0" applyNumberFormat="1" applyFont="1" applyFill="1" applyBorder="1"/>
    <x:xf numFmtId="204" fontId="8" fillId="9" borderId="0" xfId="0" applyNumberFormat="1" applyFont="1" applyFill="1" applyBorder="1"/>
    <x:xf numFmtId="0" fontId="8" fillId="9" borderId="0" xfId="0" applyNumberFormat="1" applyFont="1" applyFill="1" applyBorder="1"/>
    <x:xf numFmtId="205" fontId="8" fillId="9" borderId="0" xfId="0" applyNumberFormat="1" applyFont="1" applyFill="1" applyBorder="1"/>
    <x:xf numFmtId="204" fontId="23" fillId="8" borderId="0" xfId="0" applyNumberFormat="1" applyFont="1" applyFill="1" applyBorder="1" applyAlignment="1">
      <x:alignment horizontal="center" vertical="center" wrapText="1"/>
    </x:xf>
    <x:xf numFmtId="206" fontId="8" fillId="0" borderId="0" xfId="0" applyNumberFormat="1" applyFont="1" applyFill="1" applyBorder="1"/>
    <x:xf numFmtId="205" fontId="15" fillId="0" borderId="0" xfId="0" applyNumberFormat="1" applyFont="1" applyFill="1" applyBorder="1"/>
    <x:xf numFmtId="207" fontId="15" fillId="0" borderId="0" xfId="0" applyNumberFormat="1" applyFont="1" applyFill="1" applyBorder="1"/>
    <x:xf numFmtId="204" fontId="15" fillId="0" borderId="0" xfId="0" applyNumberFormat="1" applyFont="1" applyFill="1" applyBorder="1"/>
    <x:xf numFmtId="0" fontId="2" fillId="0" xfId="0" applyNumberFormat="1" applyFont="1" applyFill="1" applyBorder="0"/>
    <x:xf numFmtId="0" fontId="8" fillId="0" xfId="0" applyNumberFormat="1" applyFont="1" applyFill="1" applyBorder="0"/>
    <x:xf numFmtId="0" fontId="0" fillId="0" xfId="0" applyNumberFormat="1" applyFont="1" applyFill="1" applyBorder="0"/>
    <x:xf numFmtId="0" fontId="15" fillId="0" xfId="0" applyNumberFormat="1" applyFont="1" applyFill="1" applyBorder="0"/>
    <x:xf numFmtId="0" fontId="2" fillId="0" borderId="4" xfId="0" applyNumberFormat="1" applyFont="1" applyFill="1" applyBorder="1"/>
    <x:xf numFmtId="204" fontId="15" fillId="0" borderId="4" xfId="0" applyNumberFormat="1" applyFont="1" applyFill="1" applyBorder="1"/>
    <x:xf numFmtId="0" fontId="0" fillId="0" borderId="4" xfId="0" applyNumberFormat="1" applyFont="1" applyFill="1" applyBorder="1"/>
    <x:xf numFmtId="200" fontId="6" fillId="4" borderId="0" xfId="0" applyNumberFormat="1" applyFont="1" applyFill="1" applyBorder="1"/>
    <x:xf numFmtId="0" fontId="4" fillId="7" borderId="0" xfId="0" applyNumberFormat="1" applyFont="1" applyFill="1" applyBorder="1" applyAlignment="1">
      <x:alignment horizontal="left"/>
    </x:xf>
    <x:xf numFmtId="0" fontId="5"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left" vertical="center"/>
    </x:xf>
    <x:xf numFmtId="0" fontId="6" fillId="0" borderId="0" xfId="0" applyNumberFormat="1" applyFont="1" applyFill="1" applyBorder="1" applyAlignment="1">
      <x:alignment wrapText="1"/>
    </x:xf>
    <x:xf numFmtId="0" fontId="6" fillId="7" borderId="0" xfId="0" applyNumberFormat="1" applyFont="1" applyFill="1" applyBorder="1" applyAlignment="1">
      <x:alignment wrapText="1"/>
    </x:xf>
    <x:xf numFmtId="0" fontId="4" fillId="7" borderId="0" xfId="0" applyNumberFormat="1" applyFont="1" applyFill="1" applyBorder="1" applyAlignment="1">
      <x:alignment wrapText="1"/>
    </x:xf>
    <x:xf numFmtId="0" fontId="4" fillId="7" borderId="0" xfId="0" applyNumberFormat="1" applyFont="1" applyFill="1" applyBorder="1" applyAlignment="1">
      <x:alignment horizontal="left" wrapText="1"/>
    </x:xf>
    <x:xf numFmtId="0" fontId="4" fillId="7" borderId="0" xfId="0" applyNumberFormat="1" applyFont="1" applyFill="1" applyBorder="1" applyAlignment="1">
      <x:alignment horizontal="left" vertical="center" wrapText="1"/>
    </x:xf>
    <x:xf numFmtId="0" fontId="6" fillId="8" borderId="0" xfId="0" applyNumberFormat="1" applyFont="1" applyFill="1" applyBorder="1" applyAlignment="1">
      <x:alignment wrapText="1"/>
    </x:xf>
    <x:xf numFmtId="0" fontId="24" fillId="8" borderId="0" xfId="0" applyNumberFormat="1" applyFont="1" applyFill="1" applyBorder="1" applyAlignment="1">
      <x:alignment wrapText="1"/>
    </x:xf>
    <x:xf numFmtId="0" fontId="24" fillId="8" borderId="0" xfId="0" applyNumberFormat="1" applyFont="1" applyFill="1" applyBorder="1" applyAlignment="1">
      <x:alignment horizontal="center" wrapText="1"/>
    </x:xf>
    <x:xf numFmtId="0" fontId="24" fillId="8" borderId="0" xfId="0" applyNumberFormat="1" applyFont="1" applyFill="1" applyBorder="1" applyAlignment="1">
      <x:alignment horizontal="center" vertical="center" wrapText="1"/>
    </x:xf>
    <x:xf numFmtId="0" fontId="21" fillId="2" borderId="0" xfId="0" applyNumberFormat="1" applyFont="1" applyFill="1" applyBorder="1"/>
    <x:xf numFmtId="0" fontId="21" fillId="2" borderId="0" xfId="0" applyNumberFormat="1" applyFont="1" applyFill="1" applyBorder="1" applyAlignment="1">
      <x:alignment horizontal="left"/>
    </x:xf>
    <x:xf numFmtId="0" fontId="21" fillId="2" borderId="0" xfId="0" applyNumberFormat="1" applyFont="1" applyFill="1" applyBorder="1" applyAlignment="1">
      <x:alignment horizontal="left" vertical="center"/>
    </x:xf>
    <x:xf numFmtId="0" fontId="3" fillId="2" borderId="0" xfId="0" applyNumberFormat="1" applyFont="1" applyFill="1" applyBorder="1" applyAlignment="1">
      <x:alignment horizontal="left" vertical="center"/>
    </x:xf>
    <x:xf numFmtId="0" fontId="23" fillId="4" borderId="0" xfId="0" applyNumberFormat="1" applyFont="1" applyFill="1" applyBorder="1"/>
    <x:xf numFmtId="0" fontId="23" fillId="4" borderId="0" xfId="0" applyNumberFormat="1" applyFont="1" applyFill="1" applyBorder="1" applyAlignment="1">
      <x:alignment wrapText="1"/>
    </x:xf>
    <x:xf numFmtId="0" fontId="23" fillId="4" borderId="0" xfId="0" applyNumberFormat="1" applyFont="1" applyFill="1" applyBorder="1" applyAlignment="1">
      <x:alignment horizontal="center" wrapText="1"/>
    </x:xf>
    <x:xf numFmtId="0" fontId="23" fillId="4" borderId="0" xfId="0" applyNumberFormat="1" applyFont="1" applyFill="1" applyBorder="1" applyAlignment="1">
      <x:alignment horizontal="center" vertical="center" wrapText="1"/>
    </x:xf>
    <x:xf numFmtId="204" fontId="23" fillId="4" borderId="0" xfId="0" applyNumberFormat="1" applyFont="1" applyFill="1" applyBorder="1" applyAlignment="1">
      <x:alignment horizontal="center" vertical="center" wrapText="1"/>
    </x:xf>
    <x:xf numFmtId="0" fontId="5"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left" wrapText="1"/>
    </x:xf>
    <x:xf numFmtId="0" fontId="4" fillId="2" borderId="0" xfId="0" applyNumberFormat="1" applyFont="1" applyFill="1" applyBorder="1" applyAlignment="1">
      <x:alignment horizontal="left" vertical="center" wrapText="1"/>
    </x:xf>
    <x:xf numFmtId="0" fontId="24" fillId="4" borderId="0" xfId="0" applyNumberFormat="1" applyFont="1" applyFill="1" applyBorder="1" applyAlignment="1">
      <x:alignment wrapText="1"/>
    </x:xf>
    <x:xf numFmtId="0" fontId="24" fillId="4" borderId="0" xfId="0" applyNumberFormat="1" applyFont="1" applyFill="1" applyBorder="1" applyAlignment="1">
      <x:alignment horizontal="center" wrapText="1"/>
    </x:xf>
    <x:xf numFmtId="0" fontId="24" fillId="4" borderId="0" xfId="0" applyNumberFormat="1" applyFont="1" applyFill="1" applyBorder="1" applyAlignment="1">
      <x:alignment horizontal="center" vertical="center" wrapText="1"/>
    </x:xf>
    <x:xf numFmtId="0" fontId="0" fillId="10" borderId="0" xfId="0" applyNumberFormat="1" applyFont="1" applyFill="1" applyBorder="1"/>
    <x:xf numFmtId="0" fontId="21" fillId="10" borderId="0" xfId="0" applyNumberFormat="1" applyFont="1" applyFill="1" applyBorder="1"/>
    <x:xf numFmtId="0" fontId="3" fillId="10" borderId="0" xfId="0" applyNumberFormat="1" applyFont="1" applyFill="1" applyBorder="1"/>
    <x:xf numFmtId="0" fontId="8" fillId="11" borderId="0" xfId="0" applyNumberFormat="1" applyFont="1" applyFill="1" applyBorder="1"/>
    <x:xf numFmtId="204" fontId="8" fillId="11" borderId="0" xfId="0" applyNumberFormat="1" applyFont="1" applyFill="1" applyBorder="1"/>
    <x:xf numFmtId="205" fontId="8" fillId="11" borderId="0" xfId="0" applyNumberFormat="1" applyFont="1" applyFill="1" applyBorder="1"/>
    <x:xf numFmtId="201" fontId="8" fillId="11" borderId="0" xfId="0" applyNumberFormat="1" applyFont="1" applyFill="1" applyBorder="1"/>
    <x:xf numFmtId="208" fontId="8" fillId="11" borderId="0" xfId="0" applyNumberFormat="1" applyFont="1" applyFill="1" applyBorder="1"/>
    <x:xf numFmtId="209" fontId="0" fillId="0" borderId="0" xfId="0" applyNumberFormat="1" applyFont="1" applyFill="1" applyBorder="1"/>
    <x:xf numFmtId="209" fontId="2" fillId="0" borderId="0" xfId="0" applyNumberFormat="1" applyFont="1" applyFill="1" applyBorder="1"/>
    <x:xf numFmtId="209" fontId="2" fillId="0" borderId="0" xfId="0" applyNumberFormat="1" applyFont="1" applyFill="1" applyBorder="1" applyAlignment="1">
      <x:alignment horizontal="center"/>
    </x:xf>
    <x:xf numFmtId="201" fontId="2" fillId="0" borderId="0" xfId="0" applyNumberFormat="1" applyFont="1" applyFill="1" applyBorder="1"/>
    <x:xf numFmtId="0" fontId="21" fillId="1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2" fillId="0" borderId="0" xfId="0" applyNumberFormat="1" applyFont="1" applyFill="1" applyBorder="1" applyAlignment="1">
      <x:alignment vertical="center"/>
    </x:xf>
    <x:xf numFmtId="0" fontId="3" fillId="1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8" fillId="11" borderId="0" xfId="0" applyNumberFormat="1" applyFont="1" applyFill="1" applyBorder="1" applyAlignment="1">
      <x:alignment vertical="center"/>
    </x:xf>
    <x:xf numFmtId="204" fontId="8" fillId="11" borderId="0" xfId="0" applyNumberFormat="1" applyFont="1" applyFill="1" applyBorder="1" applyAlignment="1">
      <x:alignment vertical="center"/>
    </x:xf>
    <x:xf numFmtId="205" fontId="8" fillId="11" borderId="0" xfId="0" applyNumberFormat="1" applyFont="1" applyFill="1" applyBorder="1" applyAlignment="1">
      <x:alignment vertical="center"/>
    </x:xf>
    <x:xf numFmtId="201" fontId="8" fillId="11" borderId="0" xfId="0" applyNumberFormat="1" applyFont="1" applyFill="1" applyBorder="1" applyAlignment="1">
      <x:alignment vertical="center"/>
    </x:xf>
    <x:xf numFmtId="208" fontId="8" fillId="11" borderId="0" xfId="0" applyNumberFormat="1" applyFont="1" applyFill="1" applyBorder="1" applyAlignment="1">
      <x:alignment vertical="center"/>
    </x:xf>
    <x:xf numFmtId="209" fontId="2" fillId="0" borderId="0" xfId="0" applyNumberFormat="1" applyFont="1" applyFill="1" applyBorder="1" applyAlignment="1">
      <x:alignment horizontal="center" vertical="center"/>
    </x:xf>
    <x:xf numFmtId="201" fontId="2"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12" borderId="0" xfId="0" applyNumberFormat="1" applyFont="1" applyFill="1" applyBorder="1"/>
    <x:xf numFmtId="0" fontId="23" fillId="12" borderId="0" xfId="0" applyNumberFormat="1" applyFont="1" applyFill="1" applyBorder="1"/>
    <x:xf numFmtId="0" fontId="23" fillId="12" borderId="0" xfId="0" applyNumberFormat="1" applyFont="1" applyFill="1" applyBorder="1" applyAlignment="1">
      <x:alignment horizontal="center"/>
    </x:xf>
    <x:xf numFmtId="0" fontId="23" fillId="12" borderId="0" xfId="0" applyNumberFormat="1" applyFont="1" applyFill="1" applyBorder="1" applyAlignment="1">
      <x:alignment horizontal="center" wrapText="1"/>
    </x:xf>
    <x:xf numFmtId="204" fontId="23" fillId="12" borderId="0" xfId="0" applyNumberFormat="1" applyFont="1" applyFill="1" applyBorder="1" applyAlignment="1">
      <x:alignment horizontal="center" wrapText="1"/>
    </x:xf>
    <x:xf numFmtId="205" fontId="12" fillId="0" borderId="0" xfId="0" applyNumberFormat="1" applyFont="1" applyFill="1" applyBorder="1"/>
    <x:xf numFmtId="0" fontId="23" fillId="0" borderId="0" xfId="0" applyNumberFormat="1" applyFont="1" applyFill="1" applyBorder="1"/>
    <x:xf numFmtId="205" fontId="23" fillId="0" borderId="0" xfId="0" applyNumberFormat="1" applyFont="1" applyFill="1" applyBorder="1"/>
    <x:xf numFmtId="0" fontId="23" fillId="0" borderId="5" xfId="0" applyNumberFormat="1" applyFont="1" applyFill="1" applyBorder="1"/>
    <x:xf numFmtId="205" fontId="23" fillId="0" borderId="5" xfId="0" applyNumberFormat="1" applyFont="1" applyFill="1" applyBorder="1"/>
    <x:xf numFmtId="0" fontId="0" fillId="0" borderId="0" xfId="0" applyNumberFormat="1" applyFont="1" applyFill="1" applyBorder="1" applyAlignment="1">
      <x:alignment horizontal="center"/>
    </x:xf>
    <x:xf numFmtId="205" fontId="0" fillId="0" borderId="0" xfId="0" applyNumberFormat="1" applyFont="1" applyFill="1" applyBorder="1"/>
    <x:xf numFmtId="208" fontId="0" fillId="0" borderId="0" xfId="0" applyNumberFormat="1" applyFont="1" applyFill="1" applyBorder="1"/>
    <x:xf numFmtId="208" fontId="12" fillId="0" borderId="0" xfId="0" applyNumberFormat="1" applyFont="1" applyFill="1" applyBorder="1"/>
    <x:xf numFmtId="205" fontId="2" fillId="0" borderId="0" xfId="0" applyNumberFormat="1" applyFont="1" applyFill="1" applyBorder="1"/>
    <x:xf numFmtId="0" fontId="2" fillId="0" borderId="5" xfId="0" applyNumberFormat="1" applyFont="1" applyFill="1" applyBorder="1"/>
    <x:xf numFmtId="205" fontId="2" fillId="0" borderId="5" xfId="0" applyNumberFormat="1" applyFont="1" applyFill="1" applyBorder="1"/>
    <x:xf numFmtId="201" fontId="2" fillId="0" borderId="5" xfId="0" applyNumberFormat="1" applyFont="1" applyFill="1" applyBorder="1"/>
    <x:xf numFmtId="205" fontId="16" fillId="0" borderId="5" xfId="0" applyNumberFormat="1" applyFont="1" applyFill="1" applyBorder="1"/>
    <x:xf numFmtId="201" fontId="15" fillId="0" borderId="0" xfId="0" applyNumberFormat="1" applyFont="1" applyFill="1" applyBorder="1"/>
    <x:xf numFmtId="205" fontId="16" fillId="0" borderId="0" xfId="0" applyNumberFormat="1" applyFont="1" applyFill="1" applyBorder="1"/>
    <x:xf numFmtId="201" fontId="23" fillId="0" borderId="5" xfId="0" applyNumberFormat="1" applyFont="1" applyFill="1" applyBorder="1"/>
    <x:xf numFmtId="201" fontId="23" fillId="0" borderId="0" xfId="0" applyNumberFormat="1" applyFont="1" applyFill="1" applyBorder="1"/>
    <x:xf numFmtId="204" fontId="0" fillId="0" borderId="0" xfId="0" applyNumberFormat="1" applyFont="1" applyFill="1" applyBorder="1"/>
    <x:xf numFmtId="0" fontId="3" fillId="10" borderId="0" xfId="0" applyNumberFormat="1" applyFont="1" applyFill="1" applyBorder="1" applyAlignment="1">
      <x:alignment horizontal="center"/>
    </x:xf>
    <x:xf numFmtId="0" fontId="0" fillId="13" borderId="0" xfId="0" applyNumberFormat="1" applyFont="1" applyFill="1" applyBorder="1"/>
    <x:xf numFmtId="0" fontId="19" fillId="13" borderId="0" xfId="0" applyNumberFormat="1" applyFont="1" applyFill="1" applyBorder="1"/>
    <x:xf numFmtId="0" fontId="19" fillId="13" borderId="0" xfId="0" applyNumberFormat="1" applyFont="1" applyFill="1" applyBorder="1" applyAlignment="1">
      <x:alignment horizontal="center"/>
    </x:xf>
    <x:xf numFmtId="0" fontId="19" fillId="13" borderId="0" xfId="0" applyNumberFormat="1" applyFont="1" applyFill="1" applyBorder="1" applyAlignment="1">
      <x:alignment horizontal="center" vertical="center"/>
    </x:xf>
    <x:xf numFmtId="204" fontId="19" fillId="13" borderId="0" xfId="0" applyNumberFormat="1" applyFont="1" applyFill="1" applyBorder="1" applyAlignment="1">
      <x:alignment horizontal="center" vertical="center"/>
    </x:xf>
    <x:xf numFmtId="201" fontId="19" fillId="13" borderId="0" xfId="0" applyNumberFormat="1" applyFont="1" applyFill="1" applyBorder="1" applyAlignment="1">
      <x:alignment horizontal="center" vertical="center"/>
    </x:xf>
    <x:xf numFmtId="200" fontId="19" fillId="13" borderId="0" xfId="0" applyNumberFormat="1" applyFont="1" applyFill="1" applyBorder="1" applyAlignment="1">
      <x:alignment horizontal="center" vertical="center"/>
    </x:xf>
    <x:xf numFmtId="207" fontId="0" fillId="0" borderId="0" xfId="0" applyNumberFormat="1" applyFont="1" applyFill="1" applyBorder="1" applyAlignment="1">
      <x:alignment vertical="center"/>
    </x:xf>
    <x:xf numFmtId="207" fontId="12" fillId="0" borderId="0" xfId="0" applyNumberFormat="1" applyFont="1" applyFill="1" applyBorder="1" applyAlignment="1">
      <x:alignment vertical="center"/>
    </x:xf>
    <x:xf numFmtId="0" fontId="3" fillId="10" borderId="0" xfId="0" applyNumberFormat="1" applyFont="1" applyFill="1" applyBorder="1" applyAlignment="1">
      <x:alignment horizontal="left" vertical="center"/>
    </x:xf>
    <x:xf numFmtId="0" fontId="22" fillId="10" borderId="0" xfId="0" applyNumberFormat="1" applyFont="1" applyFill="1" applyBorder="1"/>
    <x:xf numFmtId="0" fontId="25" fillId="10"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5" fillId="10" borderId="0" xfId="0" applyNumberFormat="1" applyFont="1" applyFill="1" applyBorder="1" applyAlignment="1">
      <x:alignment wrapText="1"/>
    </x:xf>
    <x:xf numFmtId="0" fontId="4" fillId="10" borderId="0" xfId="0" applyNumberFormat="1" applyFont="1" applyFill="1" applyBorder="1" applyAlignment="1">
      <x:alignment wrapText="1"/>
    </x:xf>
    <x:xf numFmtId="0" fontId="5" fillId="12" borderId="0" xfId="0" applyNumberFormat="1" applyFont="1" applyFill="1" applyBorder="1" applyAlignment="1">
      <x:alignment wrapText="1"/>
    </x:xf>
    <x:xf numFmtId="0" fontId="6" fillId="12" borderId="0" xfId="0" applyNumberFormat="1" applyFont="1" applyFill="1" applyBorder="1" applyAlignment="1">
      <x:alignment wrapText="1"/>
    </x:xf>
    <x:xf numFmtId="204" fontId="5" fillId="0" borderId="0" xfId="0" applyNumberFormat="1" applyFont="1" applyFill="1" applyBorder="1"/>
    <x:xf numFmtId="205" fontId="5" fillId="0" borderId="0" xfId="0" applyNumberFormat="1" applyFont="1" applyFill="1" applyBorder="1"/>
    <x:xf numFmtId="204" fontId="18" fillId="0" borderId="0" xfId="0" applyNumberFormat="1" applyFont="1" applyFill="1" applyBorder="1"/>
    <x:xf numFmtId="205" fontId="18" fillId="0" borderId="0" xfId="0" applyNumberFormat="1" applyFont="1" applyFill="1" applyBorder="1"/>
    <x:xf numFmtId="0" fontId="26" fillId="2" borderId="0" xfId="0" applyNumberFormat="1" applyFont="1" applyFill="1" applyBorder="1" applyAlignment="1">
      <x:alignment vertical="center"/>
    </x:xf>
    <x:xf numFmtId="0" fontId="27" fillId="0" borderId="0" xfId="0" applyNumberFormat="1" applyFont="1" applyFill="1" applyBorder="1"/>
    <x:xf numFmtId="0" fontId="27" fillId="0" borderId="0" xfId="0" applyNumberFormat="1" applyFont="1" applyFill="1" applyBorder="1" applyAlignment="1">
      <x:alignment wrapText="1"/>
    </x:xf>
    <x:xf numFmtId="0" fontId="26" fillId="2" borderId="0" xfId="0" applyNumberFormat="1" applyFont="1" applyFill="1" applyBorder="1" applyAlignment="1">
      <x:alignment horizontal="left"/>
    </x:xf>
    <x:xf numFmtId="0" fontId="28" fillId="4" borderId="0" xfId="0" applyNumberFormat="1" applyFont="1" applyFill="1" applyBorder="1"/>
    <x:xf numFmtId="201" fontId="27" fillId="0" borderId="0" xfId="0" applyNumberFormat="1" applyFont="1" applyFill="1" applyBorder="1"/>
    <x:xf numFmtId="200" fontId="27" fillId="0" borderId="0" xfId="0" applyNumberFormat="1" applyFont="1" applyFill="1" applyBorder="1"/>
    <x:xf numFmtId="0" fontId="27" fillId="6" borderId="0" xfId="0" applyNumberFormat="1" applyFont="1" applyFill="1" applyBorder="1" applyAlignment="1">
      <x:alignment vertical="top" wrapText="1"/>
    </x:xf>
    <x:xf numFmtId="0" fontId="27" fillId="5" borderId="0" xfId="0" applyNumberFormat="1" applyFont="1" applyFill="1" applyBorder="1" applyAlignment="1">
      <x:alignment wrapText="1"/>
    </x:xf>
    <x:xf numFmtId="0" fontId="26" fillId="10" borderId="0" xfId="0" applyNumberFormat="1" applyFont="1" applyFill="1" applyBorder="1" applyAlignment="1">
      <x:alignment wrapText="1"/>
    </x:xf>
    <x:xf numFmtId="0" fontId="28" fillId="12" borderId="0" xfId="0" applyNumberFormat="1" applyFont="1" applyFill="1" applyBorder="1" applyAlignment="1">
      <x:alignment wrapText="1"/>
    </x:xf>
    <x:xf numFmtId="204" fontId="29" fillId="0" borderId="0" xfId="0" applyNumberFormat="1" applyFont="1" applyFill="1" applyBorder="1"/>
    <x:xf numFmtId="205" fontId="29" fillId="0" borderId="0" xfId="0" applyNumberFormat="1" applyFont="1" applyFill="1" applyBorder="1"/>
    <x:xf numFmtId="0" fontId="8" fillId="5" borderId="0" xfId="0" applyNumberFormat="1" applyFont="1" applyFill="1" applyBorder="1"/>
    <x:xf numFmtId="204" fontId="8" fillId="5" borderId="0" xfId="0" applyNumberFormat="1" applyFont="1" applyFill="1" applyBorder="1"/>
    <x:xf numFmtId="205" fontId="8" fillId="5" borderId="0" xfId="0" applyNumberFormat="1" applyFont="1" applyFill="1" applyBorder="1"/>
    <x:xf numFmtId="201" fontId="8" fillId="5" borderId="0" xfId="0" applyNumberFormat="1" applyFont="1" applyFill="1" applyBorder="1"/>
    <x:xf numFmtId="208" fontId="8" fillId="5" borderId="0" xfId="0" applyNumberFormat="1" applyFont="1" applyFill="1" applyBorder="1"/>
    <x:xf numFmtId="0" fontId="2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8" fillId="5" borderId="0" xfId="0" applyNumberFormat="1" applyFont="1" applyFill="1" applyBorder="1" applyAlignment="1">
      <x:alignment vertical="center"/>
    </x:xf>
    <x:xf numFmtId="204" fontId="8" fillId="5" borderId="0" xfId="0" applyNumberFormat="1" applyFont="1" applyFill="1" applyBorder="1" applyAlignment="1">
      <x:alignment vertical="center"/>
    </x:xf>
    <x:xf numFmtId="205" fontId="8" fillId="5" borderId="0" xfId="0" applyNumberFormat="1" applyFont="1" applyFill="1" applyBorder="1" applyAlignment="1">
      <x:alignment vertical="center"/>
    </x:xf>
    <x:xf numFmtId="201" fontId="8" fillId="5" borderId="0" xfId="0" applyNumberFormat="1" applyFont="1" applyFill="1" applyBorder="1" applyAlignment="1">
      <x:alignment vertical="center"/>
    </x:xf>
    <x:xf numFmtId="208" fontId="8" fillId="5" borderId="0" xfId="0" applyNumberFormat="1" applyFont="1" applyFill="1" applyBorder="1" applyAlignment="1">
      <x:alignment vertical="center"/>
    </x:xf>
    <x:xf numFmtId="0" fontId="23" fillId="4" borderId="0" xfId="0" applyNumberFormat="1" applyFont="1" applyFill="1" applyBorder="1" applyAlignment="1">
      <x:alignment horizontal="center"/>
    </x:xf>
    <x:xf numFmtId="204" fontId="23" fillId="4" borderId="0" xfId="0" applyNumberFormat="1" applyFont="1" applyFill="1" applyBorder="1" applyAlignment="1">
      <x:alignment horizontal="center" wrapText="1"/>
    </x:xf>
    <x:xf numFmtId="0" fontId="22" fillId="2" borderId="0" xfId="0" applyNumberFormat="1" applyFont="1" applyFill="1" applyBorder="1"/>
    <x:xf numFmtId="0" fontId="25" fillId="2" borderId="0" xfId="0" applyNumberFormat="1" applyFont="1" applyFill="1" applyBorder="1"/>
    <x:xf numFmtId="0" fontId="5" fillId="2" borderId="0" xfId="0" applyNumberFormat="1" applyFont="1" applyFill="1" applyBorder="1" applyAlignment="1">
      <x:alignment wrapText="1"/>
    </x:xf>
    <x:xf numFmtId="0" fontId="5" fillId="4" borderId="0" xfId="0" applyNumberFormat="1" applyFont="1" applyFill="1" applyBorder="1" applyAlignment="1">
      <x:alignment wrapText="1"/>
    </x:xf>
    <x:xf numFmtId="0" fontId="26" fillId="2" borderId="0" xfId="0" applyNumberFormat="1" applyFont="1" applyFill="1" applyBorder="1" applyAlignment="1">
      <x:alignment wrapText="1"/>
    </x:xf>
    <x:xf numFmtId="0" fontId="28" fillId="4" borderId="0" xfId="0" applyNumberFormat="1" applyFont="1" applyFill="1" applyBorder="1" applyAlignment="1">
      <x:alignment wrapText="1"/>
    </x:xf>
    <x:xf numFmtId="0" fontId="0" fillId="14" borderId="0" xfId="0" applyNumberFormat="1" applyFont="1" applyFill="1" applyBorder="1"/>
    <x:xf numFmtId="0" fontId="22" fillId="14" borderId="0" xfId="0" applyNumberFormat="1" applyFont="1" applyFill="1" applyBorder="1"/>
    <x:xf numFmtId="0" fontId="22" fillId="14" borderId="0" xfId="0" applyNumberFormat="1" applyFont="1" applyFill="1" applyBorder="1" applyAlignment="1">
      <x:alignment wrapText="1"/>
    </x:xf>
    <x:xf numFmtId="0" fontId="22" fillId="14" borderId="0" xfId="0" applyNumberFormat="1" applyFont="1" applyFill="1" applyBorder="1" applyAlignment="1">
      <x:alignment vertical="center" wrapText="1"/>
    </x:xf>
    <x:xf numFmtId="0" fontId="3" fillId="15" borderId="0" xfId="0" applyNumberFormat="1" applyFont="1" applyFill="1" applyBorder="1"/>
    <x:xf numFmtId="0" fontId="0" fillId="15" borderId="0" xfId="0" applyNumberFormat="1" applyFont="1" applyFill="1" applyBorder="1"/>
    <x:xf numFmtId="0" fontId="23" fillId="14" borderId="0" xfId="0" applyNumberFormat="1" applyFont="1" applyFill="1" applyBorder="1" applyAlignment="1">
      <x:alignment horizontal="center" wrapText="1"/>
    </x:xf>
    <x:xf numFmtId="0" fontId="23" fillId="14" borderId="0" xfId="0" applyNumberFormat="1" applyFont="1" applyFill="1" applyBorder="1"/>
    <x:xf numFmtId="0" fontId="23" fillId="14" borderId="0" xfId="0" applyNumberFormat="1" applyFont="1" applyFill="1" applyBorder="1" applyAlignment="1">
      <x:alignment wrapText="1"/>
    </x:xf>
    <x:xf numFmtId="0" fontId="23"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6" borderId="0" xfId="0" applyNumberFormat="1" applyFont="1" applyFill="1" applyBorder="1" applyAlignment="1">
      <x:alignment wrapText="1"/>
    </x:xf>
    <x:xf numFmtId="0" fontId="2" fillId="16" borderId="0" xfId="0" applyNumberFormat="1" applyFont="1" applyFill="1" applyBorder="1" applyAlignment="1">
      <x:alignment wrapText="1"/>
    </x:xf>
    <x:xf numFmtId="0" fontId="12" fillId="16" borderId="0" xfId="0" applyNumberFormat="1" applyFont="1" applyFill="1" applyBorder="1" applyAlignment="1">
      <x:alignment wrapText="1"/>
    </x:xf>
    <x:xf numFmtId="0" fontId="23" fillId="16" borderId="0" xfId="0" applyNumberFormat="1" applyFont="1" applyFill="1" applyBorder="1" applyAlignment="1">
      <x:alignment wrapText="1"/>
    </x:xf>
    <x:xf numFmtId="0" fontId="25" fillId="15" borderId="0" xfId="0" applyNumberFormat="1" applyFont="1" applyFill="1" applyBorder="1"/>
    <x:xf numFmtId="0" fontId="0" fillId="15" borderId="0" xfId="0" applyNumberFormat="1" applyFont="1" applyFill="1" applyBorder="1" applyAlignment="1">
      <x:alignment wrapText="1"/>
    </x:xf>
    <x:xf numFmtId="0" fontId="3" fillId="15" borderId="0" xfId="0" applyNumberFormat="1" applyFont="1" applyFill="1" applyBorder="1" applyAlignment="1">
      <x:alignment wrapText="1"/>
    </x:xf>
    <x:xf numFmtId="0" fontId="0" fillId="14" borderId="0" xfId="0" applyNumberFormat="1" applyFont="1" applyFill="1" applyBorder="1" applyAlignment="1">
      <x:alignment wrapText="1"/>
    </x:xf>
    <x:xf numFmtId="0" fontId="25" fillId="15" borderId="0" xfId="0" applyNumberFormat="1" applyFont="1" applyFill="1" applyBorder="1" applyAlignment="1">
      <x:alignment wrapText="1"/>
    </x:xf>
    <x:xf numFmtId="0" fontId="22" fillId="4" borderId="0" xfId="0" applyNumberFormat="1" applyFont="1" applyFill="1" applyBorder="1"/>
    <x:xf numFmtId="0" fontId="22" fillId="4" borderId="0" xfId="0" applyNumberFormat="1" applyFont="1" applyFill="1" applyBorder="1" applyAlignment="1">
      <x:alignment wrapText="1"/>
    </x:xf>
    <x:xf numFmtId="0" fontId="22"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0" fillId="4" borderId="0" xfId="0" applyNumberFormat="1" applyFont="1" applyFill="1" applyBorder="1" applyAlignment="1">
      <x:alignment wrapText="1"/>
    </x:xf>
    <x:xf numFmtId="0" fontId="25" fillId="2"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left"/>
    </x:xf>
    <x:xf numFmtId="0" fontId="1" fillId="17" borderId="0" xfId="0" applyNumberFormat="1" applyFont="1" applyFill="1" applyBorder="1" applyAlignment="1">
      <x:alignment horizontal="left" vertical="center"/>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left"/>
    </x:xf>
    <x:xf numFmtId="0" fontId="3" fillId="18" borderId="0" xfId="0" applyNumberFormat="1" applyFont="1" applyFill="1" applyBorder="1" applyAlignment="1">
      <x:alignment horizontal="left" vertical="center"/>
    </x:xf>
    <x:xf numFmtId="0" fontId="0" fillId="19" borderId="0" xfId="0" applyNumberFormat="1" applyFont="1" applyFill="1" applyBorder="1"/>
    <x:xf numFmtId="0" fontId="23" fillId="19" borderId="0" xfId="0" applyNumberFormat="1" applyFont="1" applyFill="1" applyBorder="1"/>
    <x:xf numFmtId="0" fontId="23" fillId="19" borderId="0" xfId="0" applyNumberFormat="1" applyFont="1" applyFill="1" applyBorder="1" applyAlignment="1">
      <x:alignment wrapText="1"/>
    </x:xf>
    <x:xf numFmtId="0" fontId="23" fillId="19" borderId="0" xfId="0" applyNumberFormat="1" applyFont="1" applyFill="1" applyBorder="1" applyAlignment="1">
      <x:alignment horizontal="center" wrapText="1"/>
    </x:xf>
    <x:xf numFmtId="0" fontId="23" fillId="19" borderId="0" xfId="0" applyNumberFormat="1" applyFont="1" applyFill="1" applyBorder="1" applyAlignment="1">
      <x:alignment horizontal="center" vertical="center" wrapText="1"/>
    </x:xf>
    <x:xf numFmtId="0" fontId="0" fillId="20" borderId="0" xfId="0" applyNumberFormat="1" applyFont="1" applyFill="1" applyBorder="1"/>
    <x:xf numFmtId="0" fontId="8" fillId="20" borderId="0" xfId="0" applyNumberFormat="1" applyFont="1" applyFill="1" applyBorder="1"/>
    <x:xf numFmtId="0" fontId="8" fillId="20" borderId="0" xfId="0" applyNumberFormat="1" applyFont="1" applyFill="1" applyBorder="1" applyAlignment="1">
      <x:alignment wrapText="1"/>
    </x:xf>
    <x:xf numFmtId="0" fontId="0" fillId="21" borderId="0" xfId="0" applyNumberFormat="1" applyFont="1" applyFill="1" applyBorder="1"/>
    <x:xf numFmtId="0" fontId="12" fillId="21" borderId="0" xfId="0" applyNumberFormat="1" applyFont="1" applyFill="1" applyBorder="1"/>
    <x:xf numFmtId="210" fontId="0" fillId="0" borderId="0" xfId="0" applyNumberFormat="1" applyFont="1" applyFill="1" applyBorder="1"/>
    <x:xf numFmtId="204" fontId="0" fillId="0" borderId="0" xfId="0" applyNumberFormat="1" applyFont="1" applyFill="1" applyBorder="1" applyAlignment="1">
      <x:alignment wrapText="1"/>
    </x:xf>
    <x:xf numFmtId="210" fontId="0" fillId="0" borderId="0" xfId="0" applyNumberFormat="1" applyFont="1" applyFill="1" applyBorder="1" applyAlignment="1">
      <x:alignment wrapText="1"/>
    </x:xf>
    <x:xf numFmtId="0" fontId="2" fillId="0" borderId="0" xfId="0" applyNumberFormat="1" applyFont="1" applyFill="1" applyBorder="1" applyAlignment="1">
      <x:alignment horizontal="center"/>
    </x:xf>
    <x:xf numFmtId="0" fontId="0" fillId="22" borderId="0" xfId="0" applyNumberFormat="1" applyFont="1" applyFill="1" applyBorder="1"/>
    <x:xf numFmtId="0" fontId="30" fillId="22" borderId="0" xfId="0" applyNumberFormat="1" applyFont="1" applyFill="1" applyBorder="1"/>
    <x:xf numFmtId="0" fontId="30" fillId="22" borderId="0" xfId="0" applyNumberFormat="1" applyFont="1" applyFill="1" applyBorder="1" applyAlignment="1">
      <x:alignment wrapText="1"/>
    </x:xf>
    <x:xf numFmtId="0" fontId="30" fillId="22" borderId="0" xfId="0" applyNumberFormat="1" applyFont="1" applyFill="1" applyBorder="1" applyAlignment="1">
      <x:alignment vertical="top" wrapText="1"/>
    </x:xf>
    <x:xf numFmtId="211" fontId="0" fillId="0" borderId="0" xfId="0" applyNumberFormat="1" applyFont="1" applyFill="1" applyBorder="1"/>
    <x:xf numFmtId="0" fontId="0" fillId="18" borderId="0" xfId="0" applyNumberFormat="1" applyFont="1" applyFill="1" applyBorder="1" applyAlignment="1">
      <x:alignment wrapText="1"/>
    </x:xf>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left" wrapText="1"/>
    </x:xf>
    <x:xf numFmtId="0" fontId="3" fillId="18" borderId="0" xfId="0" applyNumberFormat="1" applyFont="1" applyFill="1" applyBorder="1" applyAlignment="1">
      <x:alignment horizontal="left" vertical="center" wrapText="1"/>
    </x:xf>
    <x:xf numFmtId="0" fontId="0" fillId="21" borderId="0" xfId="0" applyNumberFormat="1" applyFont="1" applyFill="1" applyBorder="1" applyAlignment="1">
      <x:alignment wrapText="1"/>
    </x:xf>
    <x:xf numFmtId="0" fontId="2" fillId="21" borderId="0" xfId="0" applyNumberFormat="1" applyFont="1" applyFill="1" applyBorder="1" applyAlignment="1">
      <x:alignment wrapText="1"/>
    </x:xf>
    <x:xf numFmtId="0" fontId="12" fillId="21" borderId="0" xfId="0" applyNumberFormat="1" applyFont="1" applyFill="1" applyBorder="1" applyAlignment="1">
      <x:alignment wrapText="1"/>
    </x:xf>
    <x:xf numFmtId="0" fontId="3" fillId="22" borderId="0" xfId="0" applyNumberFormat="1" applyFont="1" applyFill="1" applyBorder="1" applyAlignment="1">
      <x:alignment horizontal="left" vertical="center"/>
    </x:xf>
    <x:xf numFmtId="0" fontId="2" fillId="22" borderId="0" xfId="0" applyNumberFormat="1" applyFont="1" applyFill="1" applyBorder="1" applyAlignment="1">
      <x:alignment horizontal="center"/>
    </x:xf>
    <x:xf numFmtId="0" fontId="0" fillId="22" borderId="0" xfId="0" applyNumberFormat="1" applyFont="1" applyFill="1" applyBorder="1" applyAlignment="1">
      <x:alignment wrapText="1"/>
    </x:xf>
    <x:xf numFmtId="0" fontId="31" fillId="22" borderId="0" xfId="0" applyNumberFormat="1" applyFont="1" applyFill="1" applyBorder="1" applyAlignment="1">
      <x:alignment horizontal="left" vertical="center"/>
    </x:xf>
    <x:xf numFmtId="0" fontId="31" fillId="22" borderId="0" xfId="0" applyNumberFormat="1" applyFont="1" applyFill="1" applyBorder="1" applyAlignment="1">
      <x:alignment horizontal="center"/>
    </x:xf>
    <x:xf numFmtId="0" fontId="31" fillId="22" borderId="0" xfId="0" applyNumberFormat="1" applyFont="1" applyFill="1" applyBorder="1" applyAlignment="1">
      <x:alignment horizontal="left" vertical="center" wrapText="1"/>
    </x:xf>
    <x:xf numFmtId="0" fontId="31" fillId="22" borderId="0" xfId="0" applyNumberFormat="1" applyFont="1" applyFill="1" applyBorder="1" applyAlignment="1">
      <x:alignment horizontal="center" wrapText="1"/>
    </x:xf>
    <x:xf numFmtId="0" fontId="31" fillId="22" borderId="0" xfId="0" applyNumberFormat="1" applyFont="1" applyFill="1" applyBorder="1" applyAlignment="1">
      <x:alignment horizontal="left" vertical="top" wrapText="1"/>
    </x:xf>
    <x:xf numFmtId="0" fontId="31" fillId="22" borderId="0" xfId="0" applyNumberFormat="1" applyFont="1" applyFill="1" applyBorder="1" applyAlignment="1">
      <x:alignment horizontal="center" vertical="top"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3" fillId="3" borderId="0" xfId="0" applyNumberFormat="1" applyFont="1" applyFill="1" applyBorder="1"/>
    <x:xf numFmtId="0" fontId="23" fillId="3" borderId="0" xfId="0" applyNumberFormat="1" applyFont="1" applyFill="1" applyBorder="1" applyAlignment="1">
      <x:alignment wrapText="1"/>
    </x:xf>
    <x:xf numFmtId="0" fontId="23" fillId="3" borderId="0" xfId="0" applyNumberFormat="1" applyFont="1" applyFill="1" applyBorder="1" applyAlignment="1">
      <x:alignment horizontal="center" wrapText="1"/>
    </x:xf>
    <x:xf numFmtId="0" fontId="23" fillId="3" borderId="0" xfId="0" applyNumberFormat="1" applyFont="1" applyFill="1" applyBorder="1" applyAlignment="1">
      <x:alignment horizontal="center" vertical="center" wrapText="1"/>
    </x:xf>
    <x:xf numFmtId="0" fontId="8" fillId="5" borderId="0" xfId="0" applyNumberFormat="1" applyFont="1" applyFill="1" applyBorder="1" applyAlignment="1">
      <x:alignment wrapText="1"/>
    </x:xf>
    <x:xf numFmtId="0" fontId="0" fillId="23" borderId="0" xfId="0" applyNumberFormat="1" applyFont="1" applyFill="1" applyBorder="1"/>
    <x:xf numFmtId="0" fontId="26" fillId="23" borderId="0" xfId="0" applyNumberFormat="1" applyFont="1" applyFill="1" applyBorder="1"/>
    <x:xf numFmtId="0" fontId="26" fillId="23" borderId="0" xfId="0" applyNumberFormat="1" applyFont="1" applyFill="1" applyBorder="1" applyAlignment="1">
      <x:alignment horizontal="center"/>
    </x:xf>
    <x:xf numFmtId="0" fontId="26" fillId="23" borderId="0" xfId="0" applyNumberFormat="1" applyFont="1" applyFill="1" applyBorder="1" applyAlignment="1">
      <x:alignment horizontal="center" vertical="center"/>
    </x:xf>
    <x:xf numFmtId="0" fontId="3" fillId="24" borderId="0" xfId="0" applyNumberFormat="1" applyFont="1" applyFill="1" applyBorder="1" applyAlignment="1">
      <x:alignment horizontal="left" vertical="center"/>
    </x:xf>
    <x:xf numFmtId="0" fontId="32" fillId="0" borderId="0" xfId="0" applyNumberFormat="1" applyFont="1" applyFill="1" applyBorder="1" applyAlignment="1">
      <x:alignment wrapText="1"/>
    </x:xf>
    <x:xf numFmtId="0" fontId="32" fillId="25" borderId="0" xfId="0" applyNumberFormat="1" applyFont="1" applyFill="1" applyBorder="1" applyAlignment="1">
      <x:alignment wrapText="1"/>
    </x:xf>
    <x:xf numFmtId="0" fontId="23" fillId="26" borderId="0" xfId="0" applyNumberFormat="1" applyFont="1" applyFill="1" applyBorder="1" applyAlignment="1">
      <x:alignment horizontal="center" vertical="center" wrapText="1"/>
    </x:xf>
    <x:xf numFmtId="0" fontId="33" fillId="0" borderId="0" xfId="0" applyNumberFormat="1" applyFont="1" applyFill="1" applyBorder="1" applyAlignment="1">
      <x:alignment wrapText="1"/>
    </x:xf>
    <x:xf numFmtId="0" fontId="33" fillId="0" borderId="0" xfId="0" applyNumberFormat="1" applyFont="1" applyFill="1" applyBorder="1" applyAlignment="1">
      <x:alignment horizontal="center"/>
    </x:xf>
    <x:xf numFmtId="204"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204" fontId="2" fillId="0" borderId="0" xfId="0" applyNumberFormat="1" applyFont="1" applyFill="1" applyBorder="1" applyAlignment="1">
      <x:alignment horizontal="center" wrapText="1"/>
    </x:xf>
    <x:xf numFmtId="0" fontId="0" fillId="27" borderId="0" xfId="0" applyNumberFormat="1" applyFont="1" applyFill="1" applyBorder="1" applyAlignment="1">
      <x:alignment wrapText="1"/>
    </x:xf>
    <x:xf numFmtId="0" fontId="33" fillId="27" borderId="0" xfId="0" applyNumberFormat="1" applyFont="1" applyFill="1" applyBorder="1" applyAlignment="1">
      <x:alignment wrapText="1"/>
    </x:xf>
    <x:xf numFmtId="0" fontId="33" fillId="27" borderId="0" xfId="0" applyNumberFormat="1" applyFont="1" applyFill="1" applyBorder="1" applyAlignment="1">
      <x:alignment horizontal="center" wrapText="1"/>
    </x:xf>
    <x:xf numFmtId="0" fontId="33" fillId="27" borderId="0" xfId="0" applyNumberFormat="1" applyFont="1" applyFill="1" applyBorder="1" applyAlignment="1">
      <x:alignment horizontal="center" vertical="center" wrapText="1"/>
    </x:xf>
    <x:xf numFmtId="0" fontId="34" fillId="0" borderId="0" xfId="0" applyNumberFormat="1" applyFont="1" applyFill="1" applyBorder="1"/>
    <x:xf numFmtId="209" fontId="34" fillId="0" borderId="0" xfId="0" applyNumberFormat="1" applyFont="1" applyFill="1" applyBorder="1"/>
    <x:xf numFmtId="205" fontId="34" fillId="0" borderId="0" xfId="0" applyNumberFormat="1" applyFont="1" applyFill="1" applyBorder="1"/>
    <x:xf numFmtId="0" fontId="34" fillId="28" borderId="0" xfId="0" applyNumberFormat="1" applyFont="1" applyFill="1" applyBorder="1"/>
    <x:xf numFmtId="209" fontId="34" fillId="28" borderId="0" xfId="0" applyNumberFormat="1" applyFont="1" applyFill="1" applyBorder="1"/>
    <x:xf numFmtId="205" fontId="34" fillId="28" borderId="0" xfId="0" applyNumberFormat="1" applyFont="1" applyFill="1" applyBorder="1"/>
    <x:xf numFmtId="0" fontId="5" fillId="25" borderId="0" xfId="0" applyNumberFormat="1" applyFont="1" applyFill="1" applyBorder="1"/>
    <x:xf numFmtId="0" fontId="0" fillId="25" borderId="0" xfId="0" applyNumberFormat="1" applyFont="1" applyFill="1" applyBorder="1"/>
    <x:xf numFmtId="0" fontId="35" fillId="25" borderId="0" xfId="0" applyNumberFormat="1" applyFont="1" applyFill="1" applyBorder="1"/>
    <x:xf numFmtId="0" fontId="32" fillId="25" borderId="0" xfId="0" applyNumberFormat="1" applyFont="1" applyFill="1" applyBorder="1"/>
    <x:xf numFmtId="0" fontId="35" fillId="25" borderId="0" xfId="0" applyNumberFormat="1" applyFont="1" applyFill="1" applyBorder="1" applyAlignment="1">
      <x:alignment wrapText="1"/>
    </x:xf>
    <x:xf numFmtId="0" fontId="22" fillId="25" borderId="0" xfId="0" applyNumberFormat="1" applyFont="1" applyFill="1" applyBorder="1" applyAlignment="1">
      <x:alignment vertical="center"/>
    </x:xf>
    <x:xf numFmtId="0" fontId="0" fillId="25" borderId="0" xfId="0" applyNumberFormat="1" applyFont="1" applyFill="1" applyBorder="1" applyAlignment="1">
      <x:alignment vertical="center"/>
    </x:xf>
    <x:xf numFmtId="0" fontId="32" fillId="25" borderId="0" xfId="0" applyNumberFormat="1" applyFont="1" applyFill="1" applyBorder="1" applyAlignment="1">
      <x:alignment vertical="center"/>
    </x:xf>
    <x:xf numFmtId="0" fontId="32" fillId="25" borderId="0" xfId="0" applyNumberFormat="1" applyFont="1" applyFill="1" applyBorder="1" applyAlignment="1">
      <x:alignment vertical="center" wrapText="1"/>
    </x:xf>
    <x:xf numFmtId="0" fontId="8" fillId="29" borderId="0"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0" fillId="24" borderId="0" xfId="0" applyNumberFormat="1" applyFont="1" applyFill="1" applyBorder="1"/>
    <x:xf numFmtId="0" fontId="3" fillId="24" borderId="0" xfId="0" applyNumberFormat="1" applyFont="1" applyFill="1" applyBorder="1"/>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horizontal="left"/>
    </x:xf>
    <x:xf numFmtId="0" fontId="1" fillId="30" borderId="0" xfId="0" applyNumberFormat="1" applyFont="1" applyFill="1" applyBorder="1" applyAlignment="1">
      <x:alignment horizontal="left" vertical="center"/>
    </x:xf>
    <x:xf numFmtId="0" fontId="3" fillId="24" borderId="0" xfId="0" applyNumberFormat="1" applyFont="1" applyFill="1" applyBorder="1" applyAlignment="1">
      <x:alignment horizontal="left"/>
    </x:xf>
    <x:xf numFmtId="0" fontId="33" fillId="0" borderId="0" xfId="0" applyNumberFormat="1" applyFont="1" applyFill="1" applyBorder="1"/>
    <x:xf numFmtId="0" fontId="0" fillId="27" borderId="0" xfId="0" applyNumberFormat="1" applyFont="1" applyFill="1" applyBorder="1"/>
    <x:xf numFmtId="0" fontId="36" fillId="27" borderId="0" xfId="0" applyNumberFormat="1" applyFont="1" applyFill="1" applyBorder="1"/>
    <x:xf numFmtId="0" fontId="36" fillId="27" borderId="0" xfId="0" applyNumberFormat="1" applyFont="1" applyFill="1" applyBorder="1" applyAlignment="1">
      <x:alignment wrapText="1"/>
    </x:xf>
    <x:xf numFmtId="0" fontId="36" fillId="27" borderId="0" xfId="0" applyNumberFormat="1" applyFont="1" applyFill="1" applyBorder="1" applyAlignment="1">
      <x:alignment horizontal="center" wrapText="1"/>
    </x:xf>
    <x:xf numFmtId="0" fontId="36" fillId="27" borderId="0" xfId="0" applyNumberFormat="1" applyFont="1" applyFill="1" applyBorder="1" applyAlignment="1">
      <x:alignment horizontal="center" vertical="center" wrapText="1"/>
    </x:xf>
    <x:xf numFmtId="0" fontId="2" fillId="26" borderId="0" xfId="0" applyNumberFormat="1" applyFont="1" applyFill="1" applyBorder="1" applyAlignment="1">
      <x:alignment horizontal="center"/>
    </x:xf>
    <x:xf numFmtId="0" fontId="11" fillId="0" borderId="0" xfId="0" applyNumberFormat="1" applyFont="1" applyFill="1" applyBorder="1" applyAlignment="1">
      <x:alignment wrapText="1"/>
    </x:xf>
    <x:xf numFmtId="0" fontId="16" fillId="0" borderId="0" xfId="0" applyNumberFormat="1" applyFont="1" applyFill="1" applyBorder="1" applyAlignment="1">
      <x:alignment wrapText="1"/>
    </x:xf>
    <x:xf numFmtId="0" fontId="23" fillId="0" borderId="0" xfId="0" applyNumberFormat="1" applyFont="1" applyFill="1" applyBorder="1" applyAlignment="1">
      <x:alignment wrapText="1"/>
    </x:xf>
    <x:xf numFmtId="0" fontId="37" fillId="0" borderId="0" xfId="0" applyNumberFormat="1" applyFont="1" applyFill="1" applyBorder="1" applyAlignment="1">
      <x:alignment wrapText="1"/>
    </x:xf>
    <x:xf numFmtId="0" fontId="0" fillId="31" borderId="0" xfId="0" applyNumberFormat="1" applyFont="1" applyFill="1" applyBorder="1" applyAlignment="1">
      <x:alignment wrapText="1"/>
    </x:xf>
    <x:xf numFmtId="0" fontId="38" fillId="31" borderId="0" xfId="0" applyNumberFormat="1" applyFont="1" applyFill="1" applyBorder="1" applyAlignment="1">
      <x:alignment wrapText="1"/>
    </x:xf>
    <x:xf numFmtId="0" fontId="38" fillId="31" borderId="0" xfId="0" applyNumberFormat="1" applyFont="1" applyFill="1" applyBorder="1" applyAlignment="1">
      <x:alignment horizontal="center" wrapText="1"/>
    </x:xf>
    <x:xf numFmtId="0" fontId="27" fillId="25" borderId="0" xfId="0" applyNumberFormat="1" applyFont="1" applyFill="1" applyBorder="1"/>
    <x:xf numFmtId="0" fontId="27" fillId="25" borderId="0" xfId="0" applyNumberFormat="1" applyFont="1" applyFill="1" applyBorder="1" applyAlignment="1">
      <x:alignment wrapText="1"/>
    </x:xf>
    <x:xf numFmtId="0" fontId="39" fillId="27" borderId="0" xfId="0" applyNumberFormat="1" applyFont="1" applyFill="1" applyBorder="1"/>
    <x:xf numFmtId="0" fontId="39" fillId="27" borderId="0" xfId="0" applyNumberFormat="1" applyFont="1" applyFill="1" applyBorder="1" applyAlignment="1">
      <x:alignment wrapText="1"/>
    </x:xf>
    <x:xf numFmtId="0" fontId="22" fillId="25" borderId="0" xfId="0" applyNumberFormat="1" applyFont="1" applyFill="1" applyBorder="1"/>
    <x:xf numFmtId="0" fontId="22" fillId="25" borderId="0" xfId="0" applyNumberFormat="1" applyFont="1" applyFill="1" applyBorder="1" applyAlignment="1">
      <x:alignment wrapText="1"/>
    </x:xf>
    <x:xf numFmtId="0" fontId="33" fillId="27" borderId="0" xfId="0" applyNumberFormat="1" applyFont="1" applyFill="1" applyBorder="1"/>
    <x:xf numFmtId="0" fontId="33" fillId="27" borderId="0" xfId="0" applyNumberFormat="1" applyFont="1" applyFill="1" applyBorder="1" applyAlignment="1">
      <x:alignment horizontal="center"/>
    </x:xf>
    <x:xf numFmtId="0" fontId="33" fillId="27" borderId="0" xfId="0" applyNumberFormat="1" applyFont="1" applyFill="1" applyBorder="1" applyAlignment="1">
      <x:alignment horizontal="center" vertical="center"/>
    </x:xf>
    <x:xf numFmtId="0" fontId="26" fillId="30" borderId="0" xfId="0" applyNumberFormat="1" applyFont="1" applyFill="1" applyBorder="1" applyAlignment="1">
      <x:alignment horizontal="left" vertical="center"/>
    </x:xf>
    <x:xf numFmtId="0" fontId="26" fillId="24" borderId="0" xfId="0" applyNumberFormat="1" applyFont="1" applyFill="1" applyBorder="1" applyAlignment="1">
      <x:alignment horizontal="left"/>
    </x:xf>
    <x:xf numFmtId="0" fontId="40" fillId="0" borderId="0" xfId="0" applyNumberFormat="1" applyFont="1" applyFill="1" applyBorder="1" applyAlignment="1">
      <x:alignment horizontal="center"/>
    </x:xf>
    <x:xf numFmtId="0" fontId="28" fillId="0" borderId="0" xfId="0" applyNumberFormat="1" applyFont="1" applyFill="1" applyBorder="1"/>
    <x:xf numFmtId="0" fontId="39" fillId="27" borderId="0" xfId="0" applyNumberFormat="1" applyFont="1" applyFill="1" applyBorder="1" applyAlignment="1">
      <x:alignment horizontal="center" vertical="center" wrapText="1"/>
    </x:xf>
    <x:xf numFmtId="0" fontId="28" fillId="26" borderId="0" xfId="0" applyNumberFormat="1" applyFont="1" applyFill="1" applyBorder="1" applyAlignment="1">
      <x:alignment horizontal="center"/>
    </x:xf>
    <x:xf numFmtId="0" fontId="41" fillId="0" borderId="0" xfId="0" applyNumberFormat="1" applyFont="1" applyFill="1" applyBorder="1" applyAlignment="1">
      <x:alignment wrapText="1"/>
    </x:xf>
    <x:xf numFmtId="0" fontId="42" fillId="0" borderId="0" xfId="0" applyNumberFormat="1" applyFont="1" applyFill="1" applyBorder="1" applyAlignment="1">
      <x:alignment wrapText="1"/>
    </x:xf>
    <x:xf numFmtId="0" fontId="43" fillId="0" borderId="0" xfId="0" applyNumberFormat="1" applyFont="1" applyFill="1" applyBorder="1" applyAlignment="1">
      <x:alignment wrapText="1"/>
    </x:xf>
    <x:xf numFmtId="0" fontId="44" fillId="0" borderId="0" xfId="0" applyNumberFormat="1" applyFont="1" applyFill="1" applyBorder="1" applyAlignment="1">
      <x:alignment wrapText="1"/>
    </x:xf>
    <x:xf numFmtId="0" fontId="45" fillId="31" borderId="0" xfId="0" applyNumberFormat="1" applyFont="1" applyFill="1" applyBorder="1" applyAlignment="1">
      <x:alignment horizontal="center" wrapText="1"/>
    </x:xf>
    <x:xf numFmtId="0" fontId="40" fillId="27" borderId="0" xfId="0" applyNumberFormat="1" applyFont="1" applyFill="1" applyBorder="1" applyAlignment="1">
      <x:alignment horizontal="center" vertical="center"/>
    </x:xf>
    <x:xf numFmtId="0" fontId="23" fillId="26" borderId="0" xfId="0" applyNumberFormat="1" applyFont="1" applyFill="1" applyBorder="1" applyAlignment="1">
      <x:alignment wrapText="1"/>
    </x:xf>
    <x:xf numFmtId="0" fontId="23" fillId="26" borderId="0" xfId="0" applyNumberFormat="1" applyFont="1" applyFill="1" applyBorder="1" applyAlignment="1">
      <x:alignment horizontal="center" wrapText="1"/>
    </x:xf>
    <x:xf numFmtId="0" fontId="40" fillId="27" borderId="0" xfId="0" applyNumberFormat="1" applyFont="1" applyFill="1" applyBorder="1"/>
    <x:xf numFmtId="0" fontId="40" fillId="27" borderId="0" xfId="0" applyNumberFormat="1" applyFont="1" applyFill="1" applyBorder="1" applyAlignment="1">
      <x:alignment horizontal="center"/>
    </x:xf>
    <x:xf numFmtId="0" fontId="6" fillId="24" borderId="0" xfId="0" applyNumberFormat="1" applyFont="1" applyFill="1" applyBorder="1"/>
    <x:xf numFmtId="0" fontId="4" fillId="24" borderId="0" xfId="0" applyNumberFormat="1" applyFont="1" applyFill="1" applyBorder="1"/>
    <x:xf numFmtId="0" fontId="5" fillId="27" borderId="0" xfId="0" applyNumberFormat="1" applyFont="1" applyFill="1" applyBorder="1" applyAlignment="1">
      <x:alignment vertical="top" wrapText="1"/>
    </x:xf>
    <x:xf numFmtId="0" fontId="46" fillId="27" borderId="0" xfId="0" applyNumberFormat="1" applyFont="1" applyFill="1" applyBorder="1" applyAlignment="1">
      <x:alignment vertical="top" wrapText="1"/>
    </x:xf>
    <x:xf numFmtId="0" fontId="0" fillId="13" borderId="0" xfId="0" applyNumberFormat="1" applyFont="1" applyFill="1" applyBorder="1" applyAlignment="1">
      <x:alignment wrapText="1"/>
    </x:xf>
    <x:xf numFmtId="0" fontId="33" fillId="13" borderId="0" xfId="0" applyNumberFormat="1" applyFont="1" applyFill="1" applyBorder="1" applyAlignment="1">
      <x:alignment wrapText="1"/>
    </x:xf>
    <x:xf numFmtId="0" fontId="33" fillId="13" borderId="0" xfId="0" applyNumberFormat="1" applyFont="1" applyFill="1" applyBorder="1" applyAlignment="1">
      <x:alignment horizontal="center" wrapText="1"/>
    </x:xf>
    <x:xf numFmtId="0" fontId="33" fillId="13" borderId="0" xfId="0" applyNumberFormat="1" applyFont="1" applyFill="1" applyBorder="1" applyAlignment="1">
      <x:alignment horizontal="center" vertical="center" wrapText="1"/>
    </x:xf>
    <x:xf numFmtId="0" fontId="34" fillId="16" borderId="0" xfId="0" applyNumberFormat="1" applyFont="1" applyFill="1" applyBorder="1"/>
    <x:xf numFmtId="209" fontId="34" fillId="16" borderId="0" xfId="0" applyNumberFormat="1" applyFont="1" applyFill="1" applyBorder="1"/>
    <x:xf numFmtId="205" fontId="34" fillId="16" borderId="0" xfId="0" applyNumberFormat="1" applyFont="1" applyFill="1" applyBorder="1"/>
    <x:xf numFmtId="0" fontId="2" fillId="3" borderId="0" xfId="0" applyNumberFormat="1" applyFont="1" applyFill="1" applyBorder="1" applyAlignment="1">
      <x:alignment wrapText="1"/>
    </x:xf>
    <x:xf numFmtId="0" fontId="36" fillId="13" borderId="0" xfId="0" applyNumberFormat="1" applyFont="1" applyFill="1" applyBorder="1"/>
    <x:xf numFmtId="0" fontId="36" fillId="13" borderId="0" xfId="0" applyNumberFormat="1" applyFont="1" applyFill="1" applyBorder="1" applyAlignment="1">
      <x:alignment wrapText="1"/>
    </x:xf>
    <x:xf numFmtId="0" fontId="36" fillId="13" borderId="0" xfId="0" applyNumberFormat="1" applyFont="1" applyFill="1" applyBorder="1" applyAlignment="1">
      <x:alignment horizontal="center" wrapText="1"/>
    </x:xf>
    <x:xf numFmtId="0" fontId="36" fillId="1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x:xf>
    <x:xf numFmtId="0" fontId="39" fillId="13" borderId="0" xfId="0" applyNumberFormat="1" applyFont="1" applyFill="1" applyBorder="1"/>
    <x:xf numFmtId="0" fontId="39" fillId="13" borderId="0" xfId="0" applyNumberFormat="1" applyFont="1" applyFill="1" applyBorder="1" applyAlignment="1">
      <x:alignment wrapText="1"/>
    </x:xf>
    <x:xf numFmtId="0" fontId="33" fillId="13" borderId="0" xfId="0" applyNumberFormat="1" applyFont="1" applyFill="1" applyBorder="1"/>
    <x:xf numFmtId="0" fontId="33" fillId="13" borderId="0" xfId="0" applyNumberFormat="1" applyFont="1" applyFill="1" applyBorder="1" applyAlignment="1">
      <x:alignment horizontal="center"/>
    </x:xf>
    <x:xf numFmtId="0" fontId="33" fillId="13" borderId="0" xfId="0" applyNumberFormat="1" applyFont="1" applyFill="1" applyBorder="1" applyAlignment="1">
      <x:alignment horizontal="center" vertical="center"/>
    </x:xf>
    <x:xf numFmtId="0" fontId="26" fillId="2" borderId="0" xfId="0" applyNumberFormat="1" applyFont="1" applyFill="1" applyBorder="1" applyAlignment="1">
      <x:alignment horizontal="left" vertical="center"/>
    </x:xf>
    <x:xf numFmtId="0" fontId="26" fillId="18" borderId="0" xfId="0" applyNumberFormat="1" applyFont="1" applyFill="1" applyBorder="1" applyAlignment="1">
      <x:alignment horizontal="left"/>
    </x:xf>
    <x:xf numFmtId="0" fontId="39" fillId="13" borderId="0" xfId="0" applyNumberFormat="1" applyFont="1" applyFill="1" applyBorder="1" applyAlignment="1">
      <x:alignment horizontal="center" vertical="center" wrapText="1"/>
    </x:xf>
    <x:xf numFmtId="0" fontId="28" fillId="3" borderId="0" xfId="0" applyNumberFormat="1" applyFont="1" applyFill="1" applyBorder="1" applyAlignment="1">
      <x:alignment horizontal="center"/>
    </x:xf>
    <x:xf numFmtId="0" fontId="40" fillId="13" borderId="0" xfId="0" applyNumberFormat="1" applyFont="1" applyFill="1" applyBorder="1" applyAlignment="1">
      <x:alignment horizontal="center" vertical="center"/>
    </x:xf>
    <x:xf numFmtId="0" fontId="40" fillId="13" borderId="0" xfId="0" applyNumberFormat="1" applyFont="1" applyFill="1" applyBorder="1"/>
    <x:xf numFmtId="0" fontId="40" fillId="13" borderId="0" xfId="0" applyNumberFormat="1" applyFont="1" applyFill="1" applyBorder="1" applyAlignment="1">
      <x:alignment horizontal="center"/>
    </x:xf>
    <x:xf numFmtId="0" fontId="6" fillId="18" borderId="0" xfId="0" applyNumberFormat="1" applyFont="1" applyFill="1" applyBorder="1"/>
    <x:xf numFmtId="0" fontId="4" fillId="18" borderId="0" xfId="0" applyNumberFormat="1" applyFont="1" applyFill="1" applyBorder="1"/>
    <x:xf numFmtId="0" fontId="5" fillId="13" borderId="0" xfId="0" applyNumberFormat="1" applyFont="1" applyFill="1" applyBorder="1" applyAlignment="1">
      <x:alignment vertical="top" wrapText="1"/>
    </x:xf>
    <x:xf numFmtId="0" fontId="46" fillId="13"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center" wrapText="1"/>
    </x:xf>
    <x:xf numFmtId="204" fontId="2" fillId="0" borderId="0" xfId="0" applyNumberFormat="1" applyFont="1" applyFill="1" applyBorder="1" applyAlignment="1">
      <x:alignment horizontal="center" vertical="center" wrapText="1"/>
    </x:xf>
    <x:xf numFmtId="212" fontId="19" fillId="13" borderId="0" xfId="0" applyNumberFormat="1" applyFont="1" applyFill="1" applyBorder="1" applyAlignment="1">
      <x:alignment horizontal="center" vertical="center"/>
    </x:xf>
    <x:xf numFmtId="213" fontId="19" fillId="13" borderId="0" xfId="0" applyNumberFormat="1" applyFont="1" applyFill="1" applyBorder="1" applyAlignment="1">
      <x:alignment horizontal="center" vertical="center"/>
    </x:xf>
    <x:xf numFmtId="214" fontId="2" fillId="0" borderId="0" xfId="0" applyNumberFormat="1" applyFont="1" applyFill="1" applyBorder="1" applyAlignment="1">
      <x:alignment horizontal="center" vertical="center" wrapText="1"/>
    </x:xf>
    <x:xf numFmtId="215" fontId="0" fillId="0" borderId="0" xfId="0" applyNumberFormat="1" applyFont="1" applyFill="1" applyBorder="1" applyAlignment="1">
      <x:alignment wrapText="1"/>
    </x:xf>
    <x:xf numFmtId="0" fontId="15" fillId="0" xfId="0" applyNumberFormat="1" applyFont="1" applyFill="1" applyBorder="0" applyAlignment="1">
      <x:alignment horizontal="center"/>
    </x:xf>
    <x:xf numFmtId="0" fontId="16" fillId="0" xfId="0" applyNumberFormat="1" applyFont="1" applyFill="1" applyBorder="0" applyAlignment="1">
      <x:alignment horizontal="center"/>
    </x:xf>
    <x:xf numFmtId="0" fontId="6" fillId="0" borderId="0" xfId="0" applyNumberFormat="1" applyFont="1" applyFill="1" applyBorder="1" applyAlignment="1">
      <x:alignment horizontal="center"/>
    </x:xf>
    <x:xf numFmtId="0" fontId="23" fillId="16" borderId="0" xfId="0" applyNumberFormat="1" applyFont="1" applyFill="1" applyBorder="1" applyAlignment="1">
      <x:alignment horizontal="center" wrapText="1"/>
    </x:xf>
    <x:xf numFmtId="214" fontId="2" fillId="32" borderId="0" xfId="0" applyNumberFormat="1" applyFont="1" applyFill="1" applyBorder="1" applyAlignment="1">
      <x:alignment horizontal="center" vertical="center" wrapText="1"/>
    </x:xf>
    <x:xf numFmtId="214" fontId="47" fillId="32" borderId="0" xfId="0" applyNumberFormat="1" applyFont="1" applyFill="1" applyBorder="1" applyAlignment="1">
      <x:alignment horizontal="center" vertical="center" wrapText="1"/>
    </x:xf>
    <x:xf numFmtId="0" fontId="2" fillId="32" borderId="0" xfId="0" applyNumberFormat="1" applyFont="1" applyFill="1" applyBorder="1" applyAlignment="1">
      <x:alignment horizontal="center" vertical="center" wrapText="1"/>
    </x:xf>
    <x:xf numFmtId="0" fontId="47" fillId="32" borderId="0" xfId="0" applyNumberFormat="1" applyFont="1" applyFill="1" applyBorder="1" applyAlignment="1">
      <x:alignment horizontal="center" vertical="center" wrapText="1"/>
    </x:xf>
  </x:cellXfs>
  <x:cellStyles count="1">
    <x:cellStyle name="Normal" xfId="0"/>
  </x:cellStyles>
  <x:dxfs count="73">
    <x:dxf>
      <x:font>
        <x:b/>
        <x:color rgb="FF9C0006"/>
      </x:font>
      <x:fill>
        <x:patternFill>
          <x:bgColor rgb="FFF4CCCC"/>
        </x:patternFill>
      </x:fill>
    </x:dxf>
    <x:dxf>
      <x:font>
        <x:b/>
        <x:color rgb="FF9C0006"/>
      </x:font>
      <x:fill>
        <x:patternFill>
          <x:bgColor rgb="FFF4CCCC"/>
        </x:patternFill>
      </x:fill>
    </x:dxf>
    <x:dxf>
      <x:font>
        <x:b/>
        <x:color rgb="FF274E13"/>
      </x:font>
      <x:fill>
        <x:patternFill>
          <x:bgColor rgb="FFD9EAD3"/>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17365D"/>
      </x:font>
      <x:fill>
        <x:patternFill>
          <x:bgColor rgb="FFD9EAF7"/>
        </x:patternFill>
      </x:fill>
    </x:dxf>
    <x:dxf>
      <x:font>
        <x:b/>
        <x:color rgb="FFC00000"/>
      </x:font>
      <x:fill>
        <x:patternFill>
          <x:bgColor rgb="FFFCE4D6"/>
        </x:patternFill>
      </x:fill>
    </x:dxf>
    <x:dxf>
      <x:font>
        <x:b/>
        <x:color rgb="FF006100"/>
      </x:font>
      <x:fill>
        <x:patternFill>
          <x:bgColor rgb="FFE2F0D9"/>
        </x:patternFill>
      </x:fill>
    </x:dxf>
    <x:dxf>
      <x:font>
        <x:b/>
        <x:color rgb="FFC00000"/>
      </x:font>
      <x:fill>
        <x:patternFill>
          <x:bgColor rgb="FFFCE4D6"/>
        </x:patternFill>
      </x:fill>
    </x:dxf>
    <x:dxf>
      <x:font>
        <x:b/>
        <x:color rgb="FF006100"/>
      </x:font>
      <x:fill>
        <x:patternFill>
          <x:bgColor rgb="FFE2F0D9"/>
        </x:patternFill>
      </x:fill>
    </x:dxf>
    <x:dxf>
      <x:font>
        <x:color rgb="FF006100"/>
      </x:font>
      <x:fill>
        <x:patternFill>
          <x:bgColor rgb="FFE2F0D9"/>
        </x:patternFill>
      </x:fill>
    </x:dxf>
    <x:dxf>
      <x:font>
        <x:b/>
        <x:color rgb="FF006100"/>
      </x:font>
      <x:fill>
        <x:patternFill>
          <x:bgColor rgb="FFE2F0D9"/>
        </x:patternFill>
      </x:fill>
    </x:dxf>
    <x:dxf>
      <x:font>
        <x:b/>
        <x:color rgb="FFC00000"/>
      </x:font>
      <x:fill>
        <x:patternFill>
          <x:bgColor rgb="FFFCE4D6"/>
        </x:patternFill>
      </x:fill>
    </x:dxf>
    <x:dxf>
      <x:font>
        <x:b/>
        <x:color rgb="FF1F4E78"/>
      </x:font>
      <x:fill>
        <x:patternFill>
          <x:bgColor rgb="FFDDEBF7"/>
        </x:patternFill>
      </x:fill>
    </x:dxf>
    <x:dxf>
      <x:font>
        <x:b/>
        <x:color rgb="FF7F6000"/>
      </x:font>
      <x:fill>
        <x:patternFill>
          <x:bgColor rgb="FFFFF2CC"/>
        </x:patternFill>
      </x:fill>
    </x:dxf>
    <x:dxf>
      <x:font>
        <x:color rgb="FF006100"/>
      </x:font>
      <x:fill>
        <x:patternFill>
          <x:bgColor rgb="FFE2F0D9"/>
        </x:patternFill>
      </x:fill>
    </x:dxf>
    <x:dxf>
      <x:font>
        <x:b/>
        <x:color rgb="FF006100"/>
      </x:font>
      <x:fill>
        <x:patternFill>
          <x:bgColor rgb="FFE2F0D9"/>
        </x:patternFill>
      </x:fill>
    </x:dxf>
    <x:dxf>
      <x:font>
        <x:b/>
        <x:color rgb="FFC00000"/>
      </x:font>
      <x:fill>
        <x:patternFill>
          <x:bgColor rgb="FFFCE4D6"/>
        </x:patternFill>
      </x:fill>
    </x:dxf>
    <x:dxf>
      <x:font>
        <x:b/>
        <x:color rgb="FF7F6000"/>
      </x:font>
      <x:fill>
        <x:patternFill>
          <x:bgColor rgb="FFFFF2CC"/>
        </x:patternFill>
      </x:fill>
    </x:dxf>
    <x:dxf>
      <x:font>
        <x:color rgb="FF006100"/>
      </x:font>
      <x:fill>
        <x:patternFill>
          <x:bgColor rgb="FFE2F0D9"/>
        </x:patternFill>
      </x:fill>
    </x:dxf>
    <x:dxf>
      <x:font>
        <x:b/>
        <x:color rgb="FF006100"/>
      </x:font>
      <x:fill>
        <x:patternFill>
          <x:bgColor rgb="FFE2F0D9"/>
        </x:patternFill>
      </x:fill>
    </x:dxf>
    <x:dxf>
      <x:font>
        <x:b/>
        <x:color rgb="FFC00000"/>
      </x:font>
      <x:fill>
        <x:patternFill>
          <x:bgColor rgb="FFFCE4D6"/>
        </x:patternFill>
      </x:fill>
    </x:dxf>
    <x:dxf>
      <x:font>
        <x:b/>
        <x:color rgb="FF006100"/>
      </x:font>
      <x:fill>
        <x:patternFill>
          <x:bgColor rgb="FFC6EFCE"/>
        </x:patternFill>
      </x:fill>
    </x:dxf>
    <x:dxf>
      <x:font>
        <x:b/>
        <x:color rgb="FF9C0006"/>
      </x:font>
      <x:fill>
        <x:patternFill>
          <x:bgColor rgb="FFFFC7CE"/>
        </x:patternFill>
      </x:fill>
    </x:dxf>
    <x:dxf>
      <x:font>
        <x:b/>
        <x:color rgb="FF006100"/>
      </x:font>
      <x:fill>
        <x:patternFill>
          <x:bgColor rgb="FFC6EFCE"/>
        </x:patternFill>
      </x:fill>
    </x:dxf>
    <x:dxf>
      <x:font>
        <x:b/>
        <x:color rgb="FF9C0006"/>
      </x:font>
      <x:fill>
        <x:patternFill>
          <x:bgColor rgb="FFFFC7CE"/>
        </x:patternFill>
      </x:fill>
    </x:dxf>
    <x:dxf>
      <x:font>
        <x:b/>
        <x:color rgb="FF9C0006"/>
      </x:font>
      <x:fill>
        <x:patternFill>
          <x:bgColor rgb="FFFFC7CE"/>
        </x:patternFill>
      </x:fill>
    </x:dxf>
    <x:dxf>
      <x:font>
        <x:color rgb="FF006100"/>
      </x:font>
      <x:fill>
        <x:patternFill>
          <x:bgColor rgb="FFE2F0D9"/>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4B5563"/>
      </x:font>
      <x:fill>
        <x:patternFill patternType="solid">
          <x:bgColor rgb="FFF3F4F6"/>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718e0456554e15" /><Relationship Type="http://schemas.openxmlformats.org/officeDocument/2006/relationships/theme" Target="/xl/theme/theme1.xml" Id="Rac397582539a423e" /><Relationship Type="http://schemas.openxmlformats.org/officeDocument/2006/relationships/sharedStrings" Target="/xl/sharedStrings.xml" Id="R77bf7ed6265a4c7e" /><Relationship Type="http://schemas.openxmlformats.org/officeDocument/2006/relationships/worksheet" Target="/xl/worksheets/sheet1.xml" Id="Rdfab4c9d0f874247" /><Relationship Type="http://schemas.openxmlformats.org/officeDocument/2006/relationships/worksheet" Target="/xl/worksheets/sheet2.xml" Id="R23a6ed3c271f438d" /><Relationship Type="http://schemas.openxmlformats.org/officeDocument/2006/relationships/worksheet" Target="/xl/worksheets/sheet3.xml" Id="R8751c98ae8984cce" /><Relationship Type="http://schemas.openxmlformats.org/officeDocument/2006/relationships/worksheet" Target="/xl/worksheets/sheet4.xml" Id="Rb2451cf35d744117" /><Relationship Type="http://schemas.openxmlformats.org/officeDocument/2006/relationships/worksheet" Target="/xl/worksheets/sheet5.xml" Id="Rb90c867dcfa34063" /><Relationship Type="http://schemas.openxmlformats.org/officeDocument/2006/relationships/worksheet" Target="/xl/worksheets/sheet6.xml" Id="R81a6f854a2494b02" /><Relationship Type="http://schemas.openxmlformats.org/officeDocument/2006/relationships/worksheet" Target="/xl/worksheets/sheet7.xml" Id="R4a7bff2c3de24887" /><Relationship Type="http://schemas.openxmlformats.org/officeDocument/2006/relationships/worksheet" Target="/xl/worksheets/sheet8.xml" Id="R784eacb6ee51469c" /><Relationship Type="http://schemas.openxmlformats.org/officeDocument/2006/relationships/worksheet" Target="/xl/worksheets/sheet9.xml" Id="R6cf0fcfe0ba04ad8" /><Relationship Type="http://schemas.openxmlformats.org/officeDocument/2006/relationships/worksheet" Target="/xl/worksheets/sheet10.xml" Id="Ref391b61d95a4224" /><Relationship Type="http://schemas.openxmlformats.org/officeDocument/2006/relationships/worksheet" Target="/xl/worksheets/sheet11.xml" Id="R3eeac17b0178461d" /><Relationship Type="http://schemas.openxmlformats.org/officeDocument/2006/relationships/worksheet" Target="/xl/worksheets/sheet12.xml" Id="Rc46d5d6535b9446d" /><Relationship Type="http://schemas.openxmlformats.org/officeDocument/2006/relationships/worksheet" Target="/xl/worksheets/sheet13.xml" Id="R1fbb8d98f66d448c" /><Relationship Type="http://schemas.openxmlformats.org/officeDocument/2006/relationships/worksheet" Target="/xl/worksheets/sheet14.xml" Id="R9a01110625574e94" /><Relationship Type="http://schemas.openxmlformats.org/officeDocument/2006/relationships/worksheet" Target="/xl/worksheets/sheet15.xml" Id="R08ed8ab4ed574eba" /><Relationship Type="http://schemas.openxmlformats.org/officeDocument/2006/relationships/worksheet" Target="/xl/worksheets/sheet16.xml" Id="Rfc6c4798c37943e3" /><Relationship Type="http://schemas.openxmlformats.org/officeDocument/2006/relationships/worksheet" Target="/xl/worksheets/sheet17.xml" Id="R2cf58ac53dc048d5" /><Relationship Type="http://schemas.openxmlformats.org/officeDocument/2006/relationships/worksheet" Target="/xl/worksheets/sheet18.xml" Id="R7aa40ce2c91c4353" /><Relationship Type="http://schemas.openxmlformats.org/officeDocument/2006/relationships/worksheet" Target="/xl/worksheets/sheet19.xml" Id="R08b522f396f840d0" /><Relationship Type="http://schemas.openxmlformats.org/officeDocument/2006/relationships/worksheet" Target="/xl/worksheets/sheet20.xml" Id="Rfa94311ebac74aa4" /><Relationship Type="http://schemas.openxmlformats.org/officeDocument/2006/relationships/worksheet" Target="/xl/worksheets/sheet21.xml" Id="R58bec86cd873469d" /><Relationship Type="http://schemas.openxmlformats.org/officeDocument/2006/relationships/worksheet" Target="/xl/worksheets/sheet22.xml" Id="Ra7f26f963fdf485b" /><Relationship Type="http://schemas.microsoft.com/office/2017/10/relationships/person" Target="/xl/persons/person.xml" Id="R99072a3f86cf4e71" /></Relationships>
</file>

<file path=xl/drawings/_rels/drawing1.xml.rels>&#65279;<?xml version="1.0" encoding="utf-8"?><Relationships xmlns="http://schemas.openxmlformats.org/package/2006/relationships"><Relationship Type="http://schemas.openxmlformats.org/officeDocument/2006/relationships/chart" Target="/xl/drawings/charts/chart1.xml" Id="R97309d6aa9764e57" /><Relationship Type="http://schemas.openxmlformats.org/officeDocument/2006/relationships/chart" Target="/xl/drawings/charts/chart2.xml" Id="R39c9beaad84f46d1" /></Relationships>
</file>

<file path=xl/drawings/_rels/drawing2.xml.rels>&#65279;<?xml version="1.0" encoding="utf-8"?><Relationships xmlns="http://schemas.openxmlformats.org/package/2006/relationships"><Relationship Type="http://schemas.openxmlformats.org/officeDocument/2006/relationships/chart" Target="/xl/drawings/charts/chart3.xml" Id="R278e766e090544f3" /><Relationship Type="http://schemas.openxmlformats.org/officeDocument/2006/relationships/chart" Target="/xl/drawings/charts/chart4.xml" Id="Rb46749f55e7d4b75"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Revenue</c:v>
          </c:tx>
          <c:cat>
            <c:strRef>
              <c:f>'Dashboard'!$B$9:$F$9</c:f>
              <c:strCache>
                <c:ptCount val="0"/>
              </c:strCache>
            </c:strRef>
          </c:cat>
          <c:val>
            <c:numRef>
              <c:f>'Dashboard'!$B$10:$F$10</c:f>
              <c:numCache>
                <c:formatCode>General</c:formatCode>
                <c:ptCount val="0"/>
              </c:numCache>
            </c:numRef>
          </c:val>
        </c:ser>
        <c:ser>
          <c:idx val="1"/>
          <c:order val="1"/>
          <c:tx>
            <c:v>EBITDA</c:v>
          </c:tx>
          <c:cat>
            <c:strRef>
              <c:f>'Dashboard'!$B$9:$F$9</c:f>
              <c:strCache>
                <c:ptCount val="0"/>
              </c:strCache>
            </c:strRef>
          </c:cat>
          <c:val>
            <c:numRef>
              <c:f>'Dashboard'!$B$11:$F$11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varyColors val="0"/>
        <c:ser>
          <c:idx val="0"/>
          <c:order val="0"/>
          <c:tx>
            <c:v>Ending Cash</c:v>
          </c:tx>
          <c:marker>
            <c:symbol val="none"/>
          </c:marker>
          <c:cat>
            <c:strRef>
              <c:f>'Dashboard'!$B$9:$F$9</c:f>
              <c:strCache>
                <c:ptCount val="0"/>
              </c:strCache>
            </c:strRef>
          </c:cat>
          <c:val>
            <c:numRef>
              <c:f>'Dashboard'!$B$12:$F$12</c:f>
              <c:numCache>
                <c:formatCode>General</c:formatCode>
                <c:ptCount val="0"/>
              </c:numCache>
            </c:numRef>
          </c:val>
        </c:ser>
        <c:ser>
          <c:idx val="1"/>
          <c:order val="1"/>
          <c:tx>
            <c:v>Free Cash Flow</c:v>
          </c:tx>
          <c:marker>
            <c:symbol val="none"/>
          </c:marker>
          <c:cat>
            <c:strRef>
              <c:f>'Dashboard'!$B$9:$F$9</c:f>
              <c:strCache>
                <c:ptCount val="0"/>
              </c:strCache>
            </c:strRef>
          </c:cat>
          <c:val>
            <c:numRef>
              <c:f>'Dashboard'!$B$13:$F$13</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Budget vs Rolling Forecast</a:t>
            </a:r>
          </a:p>
        </c:rich>
      </c:tx>
    </c:title>
    <c:plotArea>
      <c:lineChart>
        <c:grouping val="standard"/>
        <c:varyColors val="0"/>
        <c:ser>
          <c:idx val="0"/>
          <c:order val="0"/>
          <c:tx>
            <c:v>Budget</c:v>
          </c:tx>
          <c:marker>
            <c:symbol val="none"/>
          </c:marker>
          <c:cat>
            <c:strRef>
              <c:f>'Planning_Dashboard'!$P$10:$P$21</c:f>
              <c:strCache>
                <c:ptCount val="0"/>
              </c:strCache>
            </c:strRef>
          </c:cat>
          <c:val>
            <c:numRef>
              <c:f>'Planning_Dashboard'!$Q$10:$Q$21</c:f>
              <c:numCache>
                <c:formatCode>$#,##0.000;[Red]($#,##0.000);-</c:formatCode>
                <c:ptCount val="0"/>
              </c:numCache>
            </c:numRef>
          </c:val>
        </c:ser>
        <c:ser>
          <c:idx val="1"/>
          <c:order val="1"/>
          <c:tx>
            <c:v>Rolling Forecast</c:v>
          </c:tx>
          <c:marker>
            <c:symbol val="none"/>
          </c:marker>
          <c:cat>
            <c:strRef>
              <c:f>'Planning_Dashboard'!$P$10:$P$21</c:f>
              <c:strCache>
                <c:ptCount val="0"/>
              </c:strCache>
            </c:strRef>
          </c:cat>
          <c:val>
            <c:numRef>
              <c:f>'Planning_Dashboard'!$R$10:$R$21</c:f>
              <c:numCache>
                <c:formatCode>$#,##0.000;[Red]($#,##0.000);-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 Budget vs Rolling Forecast</a:t>
            </a:r>
          </a:p>
        </c:rich>
      </c:tx>
    </c:title>
    <c:plotArea>
      <c:lineChart>
        <c:grouping val="standard"/>
        <c:varyColors val="0"/>
        <c:ser>
          <c:idx val="0"/>
          <c:order val="0"/>
          <c:tx>
            <c:v>Budget</c:v>
          </c:tx>
          <c:marker>
            <c:symbol val="none"/>
          </c:marker>
          <c:cat>
            <c:strRef>
              <c:f>'Planning_Dashboard'!$P$25:$P$36</c:f>
              <c:strCache>
                <c:ptCount val="0"/>
              </c:strCache>
            </c:strRef>
          </c:cat>
          <c:val>
            <c:numRef>
              <c:f>'Planning_Dashboard'!$Q$25:$Q$36</c:f>
              <c:numCache>
                <c:formatCode>$#,##0.000;[Red]($#,##0.000);-</c:formatCode>
                <c:ptCount val="0"/>
              </c:numCache>
            </c:numRef>
          </c:val>
        </c:ser>
        <c:ser>
          <c:idx val="1"/>
          <c:order val="1"/>
          <c:tx>
            <c:v>Rolling Forecast</c:v>
          </c:tx>
          <c:marker>
            <c:symbol val="none"/>
          </c:marker>
          <c:cat>
            <c:strRef>
              <c:f>'Planning_Dashboard'!$P$25:$P$36</c:f>
              <c:strCache>
                <c:ptCount val="0"/>
              </c:strCache>
            </c:strRef>
          </c:cat>
          <c:val>
            <c:numRef>
              <c:f>'Planning_Dashboard'!$R$25:$R$36</c:f>
              <c:numCache>
                <c:formatCode>$#,##0.000;[Red]($#,##0.000);-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7309d6aa9764e57"/>
        </a:graphicData>
      </a:graphic>
    </xdr:graphicFrame>
    <xdr:clientData/>
  </xdr:twoCellAnchor>
  <xdr:twoCellAnchor>
    <xdr:from>
      <xdr:col>7</xdr:col>
      <xdr:colOff>0</xdr:colOff>
      <xdr:row>20</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c9beaad84f46d1"/>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8</xdr:row>
      <xdr:rowOff>0</xdr:rowOff>
    </xdr:from>
    <xdr:to>
      <xdr:col>14</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8e766e090544f3"/>
        </a:graphicData>
      </a:graphic>
    </xdr:graphicFrame>
    <xdr:clientData/>
  </xdr:twoCellAnchor>
  <xdr:twoCellAnchor>
    <xdr:from>
      <xdr:col>5</xdr:col>
      <xdr:colOff>0</xdr:colOff>
      <xdr:row>23</xdr:row>
      <xdr:rowOff>0</xdr:rowOff>
    </xdr:from>
    <xdr:to>
      <xdr:col>14</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6749f55e7d4b75"/>
        </a:graphicData>
      </a:graphic>
    </xdr:graphicFrame>
    <xdr:clientData/>
  </xdr:twoCellAnchor>
</xdr:wsDr>
</file>

<file path=xl/persons/person.xml><?xml version="1.0" encoding="utf-8"?>
<xltc:personList xmlns:xltc="http://schemas.microsoft.com/office/spreadsheetml/2018/threadedcomments">
  <xltc:person displayName="OpenAI Model Builder" id="{AE734184-DD6E-4F4F-8421-4F0F5FD27791}"/>
</xltc:personList>
</file>

<file path=xl/tables/table1.xml><?xml version="1.0" encoding="utf-8"?>
<x:table xmlns:x="http://schemas.openxmlformats.org/spreadsheetml/2006/main" id="1" name="tblPQConfig" displayName="tblPQConfig" ref="A6:D7" headerRowCount="1" totalsRowCount="0" totalsRowShown="0">
  <x:tableColumns count="4">
    <x:tableColumn id="1" name="SourcePath"/>
    <x:tableColumn id="2" name="QueryName"/>
    <x:tableColumn id="3" name="LoadTarget"/>
    <x:tableColumn id="4" name="ExpectedColum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8-25T13:23:00.914" personId="{AE734184-DD6E-4F4F-8421-4F0F5FD27791}" id="{EB0EC0C9-29E7-EE5A-05A3-E37A8A14E184}">
    <xltc:text>Source: Synthetic portfolio assumption created for a fictional SaaS company.</xltc:text>
  </xltc:threadedComment>
</xltc:ThreadedComments>
</file>

<file path=xl/worksheets/_rels/sheet3.xml.rels>&#65279;<?xml version="1.0" encoding="utf-8"?><Relationships xmlns="http://schemas.openxmlformats.org/package/2006/relationships"><Relationship Type="http://schemas.openxmlformats.org/officeDocument/2006/relationships/comments" Target="/xl/comments1.xml" Id="R5e5310ae517449f5" /><Relationship Type="http://schemas.openxmlformats.org/officeDocument/2006/relationships/vmlDrawing" Target="/xl/drawings/vmldrawing.vml" Id="R62a36d3bb8764083" /><Relationship Type="http://schemas.microsoft.com/office/2017/10/relationships/threadedComment" Target="/xl/threadedcomments/threadedcomment.xml" Id="R43faa3a612f34d8d" /></Relationships>
</file>

<file path=xl/worksheets/_rels/sheet10.xml.rels>&#65279;<?xml version="1.0" encoding="utf-8"?><Relationships xmlns="http://schemas.openxmlformats.org/package/2006/relationships"><Relationship Type="http://schemas.openxmlformats.org/officeDocument/2006/relationships/drawing" Target="/xl/drawings/drawing1.xml" Id="R3540e04214aa4397" /></Relationships>
</file>

<file path=xl/worksheets/_rels/sheet19.xml.rels>&#65279;<?xml version="1.0" encoding="utf-8"?><Relationships xmlns="http://schemas.openxmlformats.org/package/2006/relationships"><Relationship Type="http://schemas.openxmlformats.org/officeDocument/2006/relationships/drawing" Target="/xl/drawings/drawing2.xml" Id="R7cdd0ba092f34111" /></Relationships>
</file>

<file path=xl/worksheets/_rels/sheet20.xml.rels>&#65279;<?xml version="1.0" encoding="utf-8"?><Relationships xmlns="http://schemas.openxmlformats.org/package/2006/relationships"><Relationship Type="http://schemas.openxmlformats.org/officeDocument/2006/relationships/table" Target="/xl/tables/table1.xml" Id="Refe147a334574d53"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8"/>
  <x:cols>
    <x:col min="1" max="1" width="14" hidden="0" customWidth="1"/>
    <x:col min="2" max="2" width="15" hidden="0" customWidth="1"/>
    <x:col min="3" max="3" width="2" hidden="0" customWidth="1"/>
    <x:col min="4" max="4" width="15" hidden="0" customWidth="1"/>
    <x:col min="5" max="5" width="15" hidden="0" customWidth="1"/>
    <x:col min="6" max="6" width="15" hidden="0" customWidth="1"/>
    <x:col min="7" max="7" width="14" hidden="0" customWidth="1"/>
    <x:col min="8" max="8" width="18" hidden="0" customWidth="1"/>
    <x:col min="9" max="9" width="2" hidden="0" customWidth="1"/>
    <x:col min="10" max="10" width="18" hidden="0" customWidth="1"/>
    <x:col min="11" max="11" width="18" hidden="0" customWidth="1"/>
  </x:cols>
  <x:sheetData>
    <x:row r="1" ht="30" customHeight="1">
      <x:c r="A1" s="377" t="str">
        <x:v>AI-Enabled FP&amp;A Command Center | Portfolio Release v1.5.1</x:v>
      </x:c>
      <x:c r="B1" s="377"/>
      <x:c r="C1" s="377"/>
      <x:c r="D1" s="377"/>
      <x:c r="E1" s="377"/>
      <x:c r="F1" s="377"/>
      <x:c r="G1" s="377"/>
      <x:c r="H1" s="377"/>
      <x:c r="I1" s="377"/>
      <x:c r="J1" s="377"/>
      <x:c r="K1" s="377"/>
    </x:row>
    <x:row r="2" ht="30" customHeight="1">
      <x:c r="A2" s="180" t="str">
        <x:v>Start here: refresh actuals, validate the data pipeline, review material variances, update the rolling forecast, and generate AI-assisted management commentary from one governed FP&amp;A workflow.</x:v>
      </x:c>
      <x:c r="B2" s="180"/>
      <x:c r="C2" s="180"/>
      <x:c r="D2" s="180"/>
      <x:c r="E2" s="180"/>
      <x:c r="F2" s="180"/>
      <x:c r="G2" s="180"/>
      <x:c r="H2" s="180"/>
      <x:c r="I2" s="180"/>
      <x:c r="J2" s="180"/>
      <x:c r="K2" s="180"/>
    </x:row>
    <x:row r="3" ht="22" customHeight="1">
      <x:c r="A3" s="502" t="e">
        <x:f>HYPERLINK("#'Portfolio_Guide'!A1","OPEN PORTFOLIO GUIDE")</x:f>
        <x:v>HYPERLINK is not implemented. linkLocation=#'Portfolio_Guide'!A1, friendlyName=OPEN PORTFOLIO GUIDE</x:v>
      </x:c>
      <x:c r="B3" s="502"/>
      <x:c r="C3" s="502"/>
      <x:c r="I3" s="427" t="str">
        <x:v>PORTFOLIO RELEASE • v1.5.1</x:v>
      </x:c>
      <x:c r="J3" s="427"/>
      <x:c r="K3" s="427"/>
    </x:row>
    <x:row r="4">
      <x:c r="A4" s="381" t="str">
        <x:v>Application Status</x:v>
      </x:c>
      <x:c r="B4" s="381"/>
      <x:c r="D4" s="381" t="str">
        <x:v>Planning Snapshot</x:v>
      </x:c>
      <x:c r="E4" s="381"/>
      <x:c r="G4" s="381" t="str">
        <x:v>Executive Outlook</x:v>
      </x:c>
      <x:c r="H4" s="381"/>
      <x:c r="J4" s="381" t="str">
        <x:v>Model Governance</x:v>
      </x:c>
      <x:c r="K4" s="381"/>
    </x:row>
    <x:row r="5">
      <x:c r="A5" s="386" t="str">
        <x:v>Model Health</x:v>
      </x:c>
      <x:c r="B5" s="542" t="str">
        <x:f>IF(AND(Power_Query_Control!F11="READY",Power_Query_Control!F12="READY",Checks!B7="OK"),"READY","REVIEW")</x:f>
        <x:v>READY</x:v>
      </x:c>
      <x:c r="D5" s="386" t="str">
        <x:v>Close Through</x:v>
      </x:c>
      <x:c r="E5" s="393" t="n">
        <x:f>Planning_Assumptions!B6</x:f>
        <x:v>46265</x:v>
      </x:c>
      <x:c r="G5" s="386" t="str">
        <x:v>FY Revenue Forecast ($mm)</x:v>
      </x:c>
      <x:c r="H5" s="545" t="n">
        <x:f>Rolling_Forecast!N7</x:f>
        <x:v>19.841017488076314</x:v>
      </x:c>
      <x:c r="J5" s="386" t="str">
        <x:v>Integrity Status</x:v>
      </x:c>
      <x:c r="K5" s="555" t="str">
        <x:f>Checks!B7</x:f>
        <x:v>OK</x:v>
      </x:c>
    </x:row>
    <x:row r="6">
      <x:c r="A6" s="386" t="str">
        <x:v>Query Feed</x:v>
      </x:c>
      <x:c r="B6" s="542" t="str">
        <x:f>Power_Query_Control!F11</x:f>
        <x:v>READY</x:v>
      </x:c>
      <x:c r="D6" s="386" t="str">
        <x:v>Scenario</x:v>
      </x:c>
      <x:c r="E6" s="12" t="str">
        <x:f>Assumptions!B3</x:f>
        <x:v>Base</x:v>
      </x:c>
      <x:c r="G6" s="386" t="str">
        <x:v>FY EBITDA Forecast ($mm)</x:v>
      </x:c>
      <x:c r="H6" s="545" t="n">
        <x:f>Rolling_Forecast!N16</x:f>
        <x:v>2.4913373608903013</x:v>
      </x:c>
      <x:c r="J6" s="386" t="str">
        <x:v>Unmapped Rows</x:v>
      </x:c>
      <x:c r="K6" s="553" t="n">
        <x:f>Power_Query_Control!F8</x:f>
        <x:v>0</x:v>
      </x:c>
    </x:row>
    <x:row r="7">
      <x:c r="A7" s="386" t="str">
        <x:v>Model Import</x:v>
      </x:c>
      <x:c r="B7" s="542" t="str">
        <x:f>Power_Query_Control!F12</x:f>
        <x:v>READY</x:v>
      </x:c>
      <x:c r="D7" s="386" t="str">
        <x:v>YTD Revenue Var %</x:v>
      </x:c>
      <x:c r="E7" s="544" t="n">
        <x:f>BvA_Analysis!E21</x:f>
        <x:v>0.033386327503974564</x:v>
      </x:c>
      <x:c r="G7" s="386" t="str">
        <x:v>YTD EBITDA Var %</x:v>
      </x:c>
      <x:c r="H7" s="544" t="n">
        <x:f>BvA_Analysis!E27</x:f>
        <x:v>0.3778484366719668</x:v>
      </x:c>
      <x:c r="J7" s="386" t="str">
        <x:v>Material Reviews</x:v>
      </x:c>
      <x:c r="K7" s="553" t="n">
        <x:f>COUNTIF(BvA_Analysis!F21:F33,"FAVORABLE — REVIEW")+COUNTIF(BvA_Analysis!F21:F33,"UNFAVORABLE — REVIEW")+COUNTIF(BvA_Analysis!F21:F33,"MIXED — REVIEW")</x:f>
        <x:v>1</x:v>
      </x:c>
    </x:row>
    <x:row r="9">
      <x:c r="A9" s="381" t="str">
        <x:v>Monthly Close Workflow</x:v>
      </x:c>
      <x:c r="B9" s="381"/>
      <x:c r="C9" s="381"/>
      <x:c r="D9" s="381"/>
      <x:c r="E9" s="381"/>
      <x:c r="F9" s="381"/>
    </x:row>
    <x:row r="10" ht="34" customHeight="1">
      <x:c r="A10" s="433" t="str">
        <x:v>1</x:v>
      </x:c>
      <x:c r="B10" s="357" t="str">
        <x:v>Refresh actuals</x:v>
      </x:c>
      <x:c r="D10" s="12" t="str">
        <x:v>Replace the monthly source CSV and run Data → Refresh All.</x:v>
      </x:c>
      <x:c r="E10" s="12"/>
      <x:c r="F10" s="12"/>
      <x:c r="G10" s="542" t="str">
        <x:f>Power_Query_Control!F11</x:f>
        <x:v>READY</x:v>
      </x:c>
    </x:row>
    <x:row r="11" ht="34" customHeight="1">
      <x:c r="A11" s="433" t="str">
        <x:v>2</x:v>
      </x:c>
      <x:c r="B11" s="357" t="str">
        <x:v>Validate mapping</x:v>
      </x:c>
      <x:c r="D11" s="12" t="str">
        <x:v>Resolve any unmapped GL accounts before relying on results.</x:v>
      </x:c>
      <x:c r="E11" s="12"/>
      <x:c r="F11" s="12"/>
      <x:c r="G11" s="542" t="str">
        <x:f>IF(Power_Query_Control!F8=0,"READY","REVIEW")</x:f>
        <x:v>READY</x:v>
      </x:c>
    </x:row>
    <x:row r="12" ht="34" customHeight="1">
      <x:c r="A12" s="433" t="str">
        <x:v>3</x:v>
      </x:c>
      <x:c r="B12" s="357" t="str">
        <x:v>Advance close</x:v>
      </x:c>
      <x:c r="D12" s="12" t="str">
        <x:v>Set Close Through to the latest fully closed accounting month.</x:v>
      </x:c>
      <x:c r="E12" s="12"/>
      <x:c r="F12" s="12"/>
      <x:c r="G12" s="543" t="n">
        <x:f>Planning_Assumptions!B6</x:f>
        <x:v>46265</x:v>
      </x:c>
    </x:row>
    <x:row r="13" ht="34" customHeight="1">
      <x:c r="A13" s="433" t="str">
        <x:v>4</x:v>
      </x:c>
      <x:c r="B13" s="357" t="str">
        <x:v>Review exceptions</x:v>
      </x:c>
      <x:c r="D13" s="12" t="str">
        <x:v>Investigate material favorable/unfavorable variances and root causes.</x:v>
      </x:c>
      <x:c r="E13" s="12"/>
      <x:c r="F13" s="12"/>
      <x:c r="G13" s="555" t="n">
        <x:f>COUNTIF(BvA_Analysis!F21:F33,"FAVORABLE — REVIEW")+COUNTIF(BvA_Analysis!F21:F33,"UNFAVORABLE — REVIEW")+COUNTIF(BvA_Analysis!F21:F33,"MIXED — REVIEW")</x:f>
        <x:v>1</x:v>
      </x:c>
    </x:row>
    <x:row r="14" ht="34" customHeight="1">
      <x:c r="A14" s="433" t="str">
        <x:v>5</x:v>
      </x:c>
      <x:c r="B14" s="357" t="str">
        <x:v>Update outlook</x:v>
      </x:c>
      <x:c r="D14" s="12" t="str">
        <x:v>Review the rolling forecast and executive planning dashboard.</x:v>
      </x:c>
      <x:c r="E14" s="12"/>
      <x:c r="F14" s="12"/>
      <x:c r="G14" s="542" t="str">
        <x:v>READY</x:v>
      </x:c>
    </x:row>
    <x:row r="15" ht="34" customHeight="1">
      <x:c r="A15" s="433" t="str">
        <x:v>6</x:v>
      </x:c>
      <x:c r="B15" s="357" t="str">
        <x:v>Generate commentary</x:v>
      </x:c>
      <x:c r="D15" s="12" t="str">
        <x:v>Use the live AI prompt for management commentary after financial review.</x:v>
      </x:c>
      <x:c r="E15" s="12"/>
      <x:c r="F15" s="12"/>
      <x:c r="G15" s="542" t="str">
        <x:v>READY</x:v>
      </x:c>
    </x:row>
    <x:row r="17">
      <x:c r="A17" s="381" t="str">
        <x:v>Navigation | Run the FP&amp;A Process</x:v>
      </x:c>
      <x:c r="B17" s="381"/>
      <x:c r="C17" s="381"/>
      <x:c r="D17" s="381"/>
      <x:c r="E17" s="381"/>
      <x:c r="F17" s="381"/>
      <x:c r="G17" s="381"/>
      <x:c r="H17" s="381"/>
      <x:c r="I17" s="381"/>
      <x:c r="J17" s="381"/>
      <x:c r="K17" s="381"/>
    </x:row>
    <x:row r="18" ht="34" customHeight="1">
      <x:c r="A18" s="386" t="str">
        <x:v>1. Data Refresh</x:v>
      </x:c>
      <x:c r="B18" s="440" t="e">
        <x:f>HYPERLINK("#'Power_Query_Control'!A1","Open Refresh Control")</x:f>
        <x:v>HYPERLINK is not implemented. linkLocation=#'Power_Query_Control'!A1, friendlyName=Open Refresh Control</x:v>
      </x:c>
      <x:c r="D18" s="386" t="str">
        <x:v>2. Variance Review</x:v>
      </x:c>
      <x:c r="E18" s="440" t="e">
        <x:f>HYPERLINK("#'BvA_Analysis'!A1","Open BvA Analysis")</x:f>
        <x:v>HYPERLINK is not implemented. linkLocation=#'BvA_Analysis'!A1, friendlyName=Open BvA Analysis</x:v>
      </x:c>
      <x:c r="G18" s="386" t="str">
        <x:v>3. Rolling Forecast</x:v>
      </x:c>
      <x:c r="H18" s="440" t="e">
        <x:f>HYPERLINK("#'Rolling_Forecast'!A1","Open Rolling Forecast")</x:f>
        <x:v>HYPERLINK is not implemented. linkLocation=#'Rolling_Forecast'!A1, friendlyName=Open Rolling Forecast</x:v>
      </x:c>
      <x:c r="J18" s="386" t="str">
        <x:v>4. Planning Dashboard</x:v>
      </x:c>
      <x:c r="K18" s="440" t="e">
        <x:f>HYPERLINK("#'Planning_Dashboard'!A1","Open Dashboard")</x:f>
        <x:v>HYPERLINK is not implemented. linkLocation=#'Planning_Dashboard'!A1, friendlyName=Open Dashboard</x:v>
      </x:c>
    </x:row>
    <x:row r="19" ht="34" customHeight="1">
      <x:c r="A19" s="386" t="str">
        <x:v>5. Statements</x:v>
      </x:c>
      <x:c r="B19" s="440" t="e">
        <x:f>HYPERLINK("#'Income_Statement'!A1","Open P&amp;L")</x:f>
        <x:v>HYPERLINK is not implemented. linkLocation=#'Income_Statement'!A1, friendlyName=Open P&amp;L</x:v>
      </x:c>
      <x:c r="D19" s="386" t="str">
        <x:v>6. Assumptions</x:v>
      </x:c>
      <x:c r="E19" s="440" t="e">
        <x:f>HYPERLINK("#'Planning_Assumptions'!A1","Open Planning Inputs")</x:f>
        <x:v>HYPERLINK is not implemented. linkLocation=#'Planning_Assumptions'!A1, friendlyName=Open Planning Inputs</x:v>
      </x:c>
      <x:c r="G19" s="386" t="str">
        <x:v>7. Model Checks</x:v>
      </x:c>
      <x:c r="H19" s="440" t="e">
        <x:f>HYPERLINK("#'Checks'!A1","Open Integrity Checks")</x:f>
        <x:v>HYPERLINK is not implemented. linkLocation=#'Checks'!A1, friendlyName=Open Integrity Checks</x:v>
      </x:c>
      <x:c r="J19" s="386" t="str">
        <x:v>8. AI Commentary</x:v>
      </x:c>
      <x:c r="K19" s="440" t="e">
        <x:f>HYPERLINK("#'AI_Commentary'!A1","Open AI Commentary")</x:f>
        <x:v>HYPERLINK is not implemented. linkLocation=#'AI_Commentary'!A1, friendlyName=Open AI Commentary</x:v>
      </x:c>
    </x:row>
    <x:row r="21">
      <x:c r="A21" s="428" t="str">
        <x:v>Application Conventions</x:v>
      </x:c>
      <x:c r="B21" s="428"/>
      <x:c r="C21" s="428"/>
      <x:c r="D21" s="428"/>
      <x:c r="E21" s="428"/>
      <x:c r="F21" s="428"/>
      <x:c r="G21" s="428"/>
      <x:c r="H21" s="428"/>
      <x:c r="I21" s="428"/>
      <x:c r="J21" s="428"/>
      <x:c r="K21" s="428"/>
    </x:row>
    <x:row r="22" ht="30" customHeight="1">
      <x:c r="A22" s="430" t="str">
        <x:v>Yellow fill + blue font = editable user input  |  Green text = linked worksheet value  |  Black = formula/calculation  |  Red = external source/link  |  READY / OK = validated control.</x:v>
      </x:c>
      <x:c r="B22" s="430"/>
      <x:c r="C22" s="430"/>
      <x:c r="D22" s="430"/>
      <x:c r="E22" s="430"/>
      <x:c r="F22" s="430"/>
      <x:c r="G22" s="430"/>
      <x:c r="H22" s="430"/>
      <x:c r="I22" s="430"/>
      <x:c r="J22" s="430"/>
      <x:c r="K22" s="430"/>
    </x:row>
    <x:row r="23" ht="34" customHeight="1">
      <x:c r="A23" s="430" t="str">
        <x:v>Demo tip: begin on this page, run the workflow top-to-bottom, and use the navigation links in Excel to move directly into refresh, variance, forecast, dashboard, checks, and AI commentary modules.</x:v>
      </x:c>
      <x:c r="B23" s="430"/>
      <x:c r="C23" s="430"/>
      <x:c r="D23" s="430"/>
      <x:c r="E23" s="430"/>
      <x:c r="F23" s="430"/>
      <x:c r="G23" s="430"/>
      <x:c r="H23" s="430"/>
      <x:c r="I23" s="430"/>
      <x:c r="J23" s="430"/>
      <x:c r="K23" s="430"/>
    </x:row>
    <x:row r="24">
      <x:c r="A24" s="431" t="str">
        <x:v>Version</x:v>
      </x:c>
      <x:c r="B24" s="432" t="str">
        <x:v>v1.5.1</x:v>
      </x:c>
      <x:c r="C24" s="12"/>
      <x:c r="D24" s="431" t="str">
        <x:v>Release</x:v>
      </x:c>
      <x:c r="E24" s="12" t="str">
        <x:v>Portfolio release — usability patch</x:v>
      </x:c>
      <x:c r="F24" s="12"/>
      <x:c r="G24" s="431" t="str">
        <x:v>Model Type</x:v>
      </x:c>
      <x:c r="H24" s="12" t="str">
        <x:v>Integrated 3-statement FP&amp;A automation</x:v>
      </x:c>
      <x:c r="I24" s="12"/>
      <x:c r="J24" s="431" t="str">
        <x:v>Data</x:v>
      </x:c>
      <x:c r="K24" s="12" t="str">
        <x:v>100% synthetic SaaS portfolio data</x:v>
      </x:c>
    </x:row>
  </x:sheetData>
  <x:mergeCells>
    <x:mergeCell ref="A1:K1"/>
    <x:mergeCell ref="A2:K2"/>
    <x:mergeCell ref="A4:B4"/>
    <x:mergeCell ref="D4:E4"/>
    <x:mergeCell ref="G4:H4"/>
    <x:mergeCell ref="J4:K4"/>
    <x:mergeCell ref="A17:K17"/>
    <x:mergeCell ref="A21:K21"/>
    <x:mergeCell ref="I3:K3"/>
    <x:mergeCell ref="A3:C3"/>
    <x:mergeCell ref="D10:F10"/>
    <x:mergeCell ref="D11:F11"/>
    <x:mergeCell ref="D12:F12"/>
    <x:mergeCell ref="D13:F13"/>
    <x:mergeCell ref="D14:F14"/>
    <x:mergeCell ref="D15:F15"/>
    <x:mergeCell ref="A22:K22"/>
    <x:mergeCell ref="A23:K23"/>
  </x:mergeCells>
  <x:conditionalFormatting sqref="B5:B7">
    <x:cfRule type="expression" dxfId="24" priority="1">
      <x:formula>B5="READY"</x:formula>
    </x:cfRule>
    <x:cfRule type="expression" dxfId="25" priority="2">
      <x:formula>B5&lt;&gt;"READY"</x:formula>
    </x:cfRule>
    <x:cfRule type="expression" dxfId="30" priority="5">
      <x:formula>B5="READY"</x:formula>
    </x:cfRule>
    <x:cfRule type="expression" dxfId="31" priority="6">
      <x:formula>AND(B5&lt;&gt;"",B5&lt;&gt;"READY")</x:formula>
    </x:cfRule>
  </x:conditionalFormatting>
  <x:conditionalFormatting sqref="K5:K5">
    <x:cfRule type="expression" dxfId="32" priority="7">
      <x:formula>K5="OK"</x:formula>
    </x:cfRule>
    <x:cfRule type="expression" dxfId="33" priority="8">
      <x:formula>AND(K5&lt;&gt;"",K5&lt;&gt;"OK")</x:formula>
    </x:cfRule>
    <x:cfRule type="expression" dxfId="70" priority="20">
      <x:formula>AND(K5&lt;&gt;"",K5&lt;&gt;"OK")</x:formula>
    </x:cfRule>
  </x:conditionalFormatting>
  <x:conditionalFormatting sqref="G10:G15">
    <x:cfRule type="expression" dxfId="38" priority="13">
      <x:formula>G10="READY"</x:formula>
    </x:cfRule>
    <x:cfRule type="expression" dxfId="39" priority="14">
      <x:formula>AND(ISTEXT(G10),G10&lt;&gt;"",G10&lt;&gt;"READY")</x:formula>
    </x:cfRule>
  </x:conditionalFormatting>
  <x:conditionalFormatting sqref="K6:K6">
    <x:cfRule type="expression" dxfId="67" priority="17">
      <x:formula>K6&gt;=1</x:formula>
    </x:cfRule>
    <x:cfRule type="cellIs" dxfId="71" priority="21" operator="greaterThanOrEqual">
      <x:formula>1</x:formula>
    </x:cfRule>
  </x:conditionalFormatting>
  <x:conditionalFormatting sqref="K7:K7">
    <x:cfRule type="expression" dxfId="68" priority="18">
      <x:formula>K7&gt;=1</x:formula>
    </x:cfRule>
    <x:cfRule type="cellIs" dxfId="72" priority="22" operator="greaterThanOrEqual">
      <x:formula>1</x:formula>
    </x:cfRule>
  </x:conditionalFormatting>
  <x:conditionalFormatting sqref="G13:G13">
    <x:cfRule type="expression" dxfId="69" priority="19">
      <x:formula>G13&gt;=1</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72"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s>
  <x:sheetData>
    <x:row r="1" ht="15" hidden="0" customHeight="1">
      <x:c r="A1" s="34" t="str">
        <x:v>AI-Assisted FP&amp;A Automation | Build History &amp; Technical Notes | v1.5.1</x:v>
      </x:c>
      <x:c r="B1" s="35"/>
      <x:c r="C1" s="35"/>
      <x:c r="D1" s="35"/>
      <x:c r="E1" s="35"/>
      <x:c r="F1" s="35"/>
      <x:c r="G1" s="35"/>
      <x:c r="H1" s="35"/>
    </x:row>
    <x:row r="2" ht="15" hidden="0" customHeight="1">
      <x:c r="A2" s="35"/>
      <x:c r="B2" s="35"/>
      <x:c r="C2" s="35"/>
      <x:c r="D2" s="35"/>
      <x:c r="E2" s="35"/>
      <x:c r="F2" s="35"/>
      <x:c r="G2" s="35"/>
      <x:c r="H2" s="35"/>
    </x:row>
    <x:row r="3" ht="15" hidden="0" customHeight="1">
      <x:c r="A3" s="508" t="str">
        <x:v>Portfolio release guide</x:v>
      </x:c>
      <x:c r="B3" s="508" t="str"/>
      <x:c r="C3" s="508" t="str"/>
      <x:c r="D3" s="36" t="str"/>
      <x:c r="E3" s="36" t="str"/>
      <x:c r="F3" s="36" t="str"/>
      <x:c r="G3" s="36" t="str"/>
      <x:c r="H3" s="36" t="str"/>
    </x:row>
    <x:row r="4" ht="32" customHeight="1">
      <x:c r="A4" s="510" t="e">
        <x:f>HYPERLINK("#'Portfolio_Guide'!A1","Open Portfolio_Guide for the 60-second demo, architecture, model conventions, and release notes.")</x:f>
        <x:v>HYPERLINK is not implemented. linkLocation=#'Portfolio_Guide'!A1, friendlyName=Open Portfolio_Guide for the 60-second demo, architecture, model conventions, and release notes.</x:v>
      </x:c>
      <x:c r="B4" s="510"/>
      <x:c r="C4" s="510"/>
      <x:c r="D4" s="37"/>
      <x:c r="E4" s="37"/>
      <x:c r="F4" s="37"/>
      <x:c r="G4" s="37"/>
      <x:c r="H4" s="37"/>
    </x:row>
    <x:row r="5">
      <x:c r="A5" s="37"/>
      <x:c r="B5" s="37"/>
      <x:c r="C5" s="37"/>
      <x:c r="D5" s="37"/>
      <x:c r="E5" s="37"/>
      <x:c r="F5" s="37"/>
      <x:c r="G5" s="37"/>
      <x:c r="H5" s="37"/>
    </x:row>
    <x:row r="6">
      <x:c r="A6" s="37"/>
      <x:c r="B6" s="37"/>
      <x:c r="C6" s="37"/>
      <x:c r="D6" s="37"/>
      <x:c r="E6" s="37"/>
      <x:c r="F6" s="37"/>
      <x:c r="G6" s="37"/>
      <x:c r="H6" s="37"/>
    </x:row>
    <x:row r="7" ht="15" hidden="0" customHeight="1">
      <x:c r="A7" s="35"/>
      <x:c r="B7" s="35"/>
      <x:c r="C7" s="35"/>
      <x:c r="D7" s="35"/>
      <x:c r="E7" s="35"/>
      <x:c r="F7" s="35"/>
      <x:c r="G7" s="35"/>
      <x:c r="H7" s="35"/>
    </x:row>
    <x:row r="8" ht="15" hidden="0" customHeight="1">
      <x:c r="A8" s="38" t="str">
        <x:v>How to use the model</x:v>
      </x:c>
      <x:c r="B8" s="35"/>
      <x:c r="C8" s="35"/>
      <x:c r="D8" s="35"/>
      <x:c r="E8" s="35"/>
      <x:c r="F8" s="35"/>
      <x:c r="G8" s="35"/>
      <x:c r="H8" s="35"/>
    </x:row>
    <x:row r="9" ht="15" hidden="0" customHeight="1">
      <x:c r="A9" s="39" t="str">
        <x:v>1</x:v>
      </x:c>
      <x:c r="B9" s="40" t="str">
        <x:v>Choose Base, Upside, or Downside on the Assumptions sheet.</x:v>
      </x:c>
      <x:c r="C9" s="35"/>
      <x:c r="D9" s="35"/>
      <x:c r="E9" s="35"/>
      <x:c r="F9" s="35"/>
      <x:c r="G9" s="35"/>
      <x:c r="H9" s="35"/>
    </x:row>
    <x:row r="10" ht="15" hidden="0" customHeight="1">
      <x:c r="A10" s="39" t="str">
        <x:v>2</x:v>
      </x:c>
      <x:c r="B10" s="40" t="str">
        <x:v>Adjust blue-font assumptions to test operating scenarios.</x:v>
      </x:c>
      <x:c r="C10" s="35"/>
      <x:c r="D10" s="35"/>
      <x:c r="E10" s="35"/>
      <x:c r="F10" s="35"/>
      <x:c r="G10" s="35"/>
      <x:c r="H10" s="35"/>
    </x:row>
    <x:row r="11" ht="24" hidden="0" customHeight="1">
      <x:c r="A11" s="39" t="str">
        <x:v>3</x:v>
      </x:c>
      <x:c r="B11" s="40" t="str">
        <x:v>Review the Income Statement, Balance Sheet, and Cash Flow; all forecast years recalculate automatically.</x:v>
      </x:c>
      <x:c r="C11" s="35"/>
      <x:c r="D11" s="35"/>
      <x:c r="E11" s="35"/>
      <x:c r="F11" s="35"/>
      <x:c r="G11" s="35"/>
      <x:c r="H11" s="35"/>
    </x:row>
    <x:row r="12" ht="15" hidden="0" customHeight="1">
      <x:c r="A12" s="39" t="str">
        <x:v>4</x:v>
      </x:c>
      <x:c r="B12" s="40" t="str">
        <x:v>Use Checks to confirm the statements remain integrated and balanced.</x:v>
      </x:c>
      <x:c r="C12" s="35"/>
      <x:c r="D12" s="35"/>
      <x:c r="E12" s="35"/>
      <x:c r="F12" s="35"/>
      <x:c r="G12" s="35"/>
      <x:c r="H12" s="35"/>
    </x:row>
    <x:row r="13" ht="15" hidden="0" customHeight="1">
      <x:c r="A13" s="39" t="str">
        <x:v>5</x:v>
      </x:c>
      <x:c r="B13" s="40" t="str">
        <x:v>Review the Dashboard for executive KPIs and trend charts.</x:v>
      </x:c>
      <x:c r="C13" s="35"/>
      <x:c r="D13" s="35"/>
      <x:c r="E13" s="35"/>
      <x:c r="F13" s="35"/>
      <x:c r="G13" s="35"/>
      <x:c r="H13" s="35"/>
    </x:row>
    <x:row r="14" ht="24" hidden="0" customHeight="1">
      <x:c r="A14" s="39" t="str">
        <x:v>6</x:v>
      </x:c>
      <x:c r="B14" s="40" t="str">
        <x:v>Open AI Commentary and copy the dynamically generated prompt into ChatGPT/Copilot for management commentary.</x:v>
      </x:c>
      <x:c r="C14" s="35"/>
      <x:c r="D14" s="35"/>
      <x:c r="E14" s="35"/>
      <x:c r="F14" s="35"/>
      <x:c r="G14" s="35"/>
      <x:c r="H14" s="35"/>
    </x:row>
    <x:row r="15" ht="15" hidden="0" customHeight="1">
      <x:c r="A15" s="35"/>
      <x:c r="B15" s="35"/>
      <x:c r="C15" s="35"/>
      <x:c r="D15" s="35"/>
      <x:c r="E15" s="35"/>
      <x:c r="F15" s="35"/>
      <x:c r="G15" s="35"/>
      <x:c r="H15" s="35"/>
    </x:row>
    <x:row r="16" ht="15" hidden="0" customHeight="1">
      <x:c r="A16" s="38" t="str">
        <x:v>Portfolio / resume positioning</x:v>
      </x:c>
      <x:c r="B16" s="35"/>
      <x:c r="C16" s="35"/>
      <x:c r="D16" s="35"/>
      <x:c r="E16" s="35"/>
      <x:c r="F16" s="35"/>
      <x:c r="G16" s="35"/>
      <x:c r="H16" s="35"/>
    </x:row>
    <x:row r="17" ht="15" hidden="0" customHeight="1">
      <x:c r="A17" s="41" t="str">
        <x:v>Capability demonstrated</x:v>
      </x:c>
      <x:c r="B17" s="41" t="str">
        <x:v>Evidence in workbook</x:v>
      </x:c>
      <x:c r="C17" s="35"/>
      <x:c r="D17" s="35"/>
      <x:c r="E17" s="35"/>
      <x:c r="F17" s="35"/>
      <x:c r="G17" s="35"/>
      <x:c r="H17" s="35"/>
    </x:row>
    <x:row r="18" ht="15" hidden="0" customHeight="1">
      <x:c r="A18" s="40" t="str">
        <x:v>Three-statement modeling</x:v>
      </x:c>
      <x:c r="B18" s="40" t="str">
        <x:v>Integrated P&amp;L, Balance Sheet, and Cash Flow with cash and equity roll-forwards</x:v>
      </x:c>
      <x:c r="C18" s="35"/>
      <x:c r="D18" s="35"/>
      <x:c r="E18" s="35"/>
      <x:c r="F18" s="35"/>
      <x:c r="G18" s="35"/>
      <x:c r="H18" s="35"/>
    </x:row>
    <x:row r="19" ht="24" hidden="0" customHeight="1">
      <x:c r="A19" s="40" t="str">
        <x:v>Scenario planning</x:v>
      </x:c>
      <x:c r="B19" s="40" t="str">
        <x:v>Base / Upside / Downside long-range drivers plus monthly Budget / Actual / Rolling Forecast planning</x:v>
      </x:c>
      <x:c r="C19" s="35"/>
      <x:c r="D19" s="35"/>
      <x:c r="E19" s="35"/>
      <x:c r="F19" s="35"/>
      <x:c r="G19" s="35"/>
      <x:c r="H19" s="35"/>
    </x:row>
    <x:row r="20" ht="24" hidden="0" customHeight="1">
      <x:c r="A20" s="40" t="str">
        <x:v>FP&amp;A automation</x:v>
      </x:c>
      <x:c r="B20" s="40" t="str">
        <x:v>Raw actuals import → mapping → staging → monthly BvA → rolling forecast → executive dashboards</x:v>
      </x:c>
      <x:c r="C20" s="35"/>
      <x:c r="D20" s="35"/>
      <x:c r="E20" s="35"/>
      <x:c r="F20" s="35"/>
      <x:c r="G20" s="35"/>
      <x:c r="H20" s="35"/>
    </x:row>
    <x:row r="21" ht="15" hidden="0" customHeight="1">
      <x:c r="A21" s="40" t="str">
        <x:v>Model governance</x:v>
      </x:c>
      <x:c r="B21" s="40" t="str">
        <x:v>Dedicated controls sheet for balance sheet, cash, and equity roll-forward checks</x:v>
      </x:c>
      <x:c r="C21" s="35"/>
      <x:c r="D21" s="35"/>
      <x:c r="E21" s="35"/>
      <x:c r="F21" s="35"/>
      <x:c r="G21" s="35"/>
      <x:c r="H21" s="35"/>
    </x:row>
    <x:row r="22" ht="15" hidden="0" customHeight="1">
      <x:c r="A22" s="40" t="str">
        <x:v>AI-enabled analysis</x:v>
      </x:c>
      <x:c r="B22" s="40" t="str">
        <x:v>Live model outputs feed a structured AI management-commentary prompt</x:v>
      </x:c>
      <x:c r="C22" s="35"/>
      <x:c r="D22" s="35"/>
      <x:c r="E22" s="35"/>
      <x:c r="F22" s="35"/>
      <x:c r="G22" s="35"/>
      <x:c r="H22" s="35"/>
    </x:row>
    <x:row r="23" ht="15" hidden="0" customHeight="1">
      <x:c r="A23" s="40" t="str">
        <x:v>Executive communication</x:v>
      </x:c>
      <x:c r="B23" s="40" t="str">
        <x:v>Dashboard summarizes revenue, EBITDA margin, FCF, and liquidity</x:v>
      </x:c>
      <x:c r="C23" s="35"/>
      <x:c r="D23" s="35"/>
      <x:c r="E23" s="35"/>
      <x:c r="F23" s="35"/>
      <x:c r="G23" s="35"/>
      <x:c r="H23" s="35"/>
    </x:row>
    <x:row r="24" ht="15" hidden="0" customHeight="1">
      <x:c r="A24" s="35"/>
      <x:c r="B24" s="35"/>
      <x:c r="C24" s="35"/>
      <x:c r="D24" s="35"/>
      <x:c r="E24" s="35"/>
      <x:c r="F24" s="35"/>
      <x:c r="G24" s="35"/>
      <x:c r="H24" s="35"/>
    </x:row>
    <x:row r="25" ht="15" hidden="0" customHeight="1">
      <x:c r="A25" s="213" t="str">
        <x:v>v1.1 Automated Actuals Import Workflow</x:v>
      </x:c>
      <x:c r="B25" s="213"/>
      <x:c r="C25" s="213"/>
      <x:c r="D25" s="35"/>
      <x:c r="E25" s="35"/>
      <x:c r="F25" s="35"/>
      <x:c r="G25" s="35"/>
      <x:c r="H25" s="35"/>
    </x:row>
    <x:row r="26" ht="24" hidden="0" customHeight="1">
      <x:c r="A26" s="41" t="str">
        <x:v>1</x:v>
      </x:c>
      <x:c r="B26" s="41" t="str">
        <x:v>Replace the synthetic export on Raw_Actuals in columns A:H. Do not overwrite the Mapping Status formula column.</x:v>
      </x:c>
      <x:c r="C26" s="41" t="str"/>
      <x:c r="D26" s="35"/>
      <x:c r="E26" s="35"/>
      <x:c r="F26" s="35"/>
      <x:c r="G26" s="35"/>
      <x:c r="H26" s="35"/>
    </x:row>
    <x:row r="27" ht="24" hidden="0" customHeight="1">
      <x:c r="A27" s="214" t="str">
        <x:v>2</x:v>
      </x:c>
      <x:c r="B27" s="40" t="str">
        <x:v>Review Mapping Status. Any UNMAPPED account must be added to Account_Map before the model is considered refresh-ready.</x:v>
      </x:c>
      <x:c r="C27" s="40" t="str"/>
      <x:c r="D27" s="35"/>
      <x:c r="E27" s="35"/>
      <x:c r="F27" s="35"/>
      <x:c r="G27" s="35"/>
      <x:c r="H27" s="35"/>
    </x:row>
    <x:row r="28" ht="24" hidden="0" customHeight="1">
      <x:c r="A28" s="214" t="str">
        <x:v>3</x:v>
      </x:c>
      <x:c r="B28" s="40" t="str">
        <x:v>Account_Map normalizes source signs and aggregates each GL account by month and FY2026A.</x:v>
      </x:c>
      <x:c r="C28" s="40" t="str"/>
      <x:c r="D28" s="35"/>
      <x:c r="E28" s="35"/>
      <x:c r="F28" s="35"/>
      <x:c r="G28" s="35"/>
      <x:c r="H28" s="35"/>
    </x:row>
    <x:row r="29" ht="24" hidden="0" customHeight="1">
      <x:c r="A29" s="214" t="str">
        <x:v>4</x:v>
      </x:c>
      <x:c r="B29" s="40" t="str">
        <x:v>Actuals_Staging consolidates mapped accounts into model lines and displays the import control status.</x:v>
      </x:c>
      <x:c r="C29" s="40" t="str"/>
      <x:c r="D29" s="35"/>
      <x:c r="E29" s="35"/>
      <x:c r="F29" s="35"/>
      <x:c r="G29" s="35"/>
      <x:c r="H29" s="35"/>
    </x:row>
    <x:row r="30" ht="24" hidden="0" customHeight="1">
      <x:c r="A30" s="214" t="str">
        <x:v>5</x:v>
      </x:c>
      <x:c r="B30" s="40" t="str">
        <x:v>Actuals_Input now links to Actuals_Staging, so all three financial statements update without re-keying historical actuals.</x:v>
      </x:c>
      <x:c r="C30" s="40" t="str"/>
      <x:c r="D30" s="35"/>
      <x:c r="E30" s="35"/>
      <x:c r="F30" s="35"/>
      <x:c r="G30" s="35"/>
      <x:c r="H30" s="35"/>
    </x:row>
    <x:row r="31" ht="24" hidden="0" customHeight="1">
      <x:c r="A31" s="214" t="str">
        <x:v>6</x:v>
      </x:c>
      <x:c r="B31" s="40" t="str">
        <x:v>Once the import control reads READY, review Checks and Dashboard for model integrity and executive outputs.</x:v>
      </x:c>
      <x:c r="C31" s="40" t="str"/>
      <x:c r="D31" s="35"/>
      <x:c r="E31" s="35"/>
      <x:c r="F31" s="35"/>
      <x:c r="G31" s="35"/>
      <x:c r="H31" s="35"/>
    </x:row>
    <x:row r="32" ht="15" hidden="0" customHeight="1">
      <x:c r="A32" s="40"/>
      <x:c r="B32" s="40"/>
      <x:c r="C32" s="40"/>
      <x:c r="D32" s="35"/>
      <x:c r="E32" s="35"/>
      <x:c r="F32" s="35"/>
      <x:c r="G32" s="35"/>
      <x:c r="H32" s="35"/>
    </x:row>
    <x:row r="33">
      <x:c r="A33" s="218" t="str">
        <x:v>Portfolio / resume positioning</x:v>
      </x:c>
      <x:c r="B33" s="218"/>
      <x:c r="C33" s="218"/>
      <x:c r="D33" s="42"/>
      <x:c r="E33" s="42"/>
      <x:c r="F33" s="42"/>
      <x:c r="G33" s="42"/>
      <x:c r="H33" s="42"/>
    </x:row>
    <x:row r="34">
      <x:c r="A34" s="222" t="str">
        <x:v>Capability demonstrated</x:v>
      </x:c>
      <x:c r="B34" s="222" t="str">
        <x:v>Evidence in workbook</x:v>
      </x:c>
      <x:c r="C34" s="42" t="str"/>
      <x:c r="D34" s="42"/>
      <x:c r="E34" s="42"/>
      <x:c r="F34" s="42"/>
      <x:c r="G34" s="42"/>
      <x:c r="H34" s="42"/>
    </x:row>
    <x:row r="35" ht="15" hidden="0" customHeight="1">
      <x:c r="A35" t="str">
        <x:v>Three-statement modeling</x:v>
      </x:c>
      <x:c r="B35" t="str">
        <x:v>Integrated P&amp;L, Balance Sheet, and Cash Flow with cash and equity roll-forwards</x:v>
      </x:c>
      <x:c r="C35" t="str"/>
    </x:row>
    <x:row r="36" ht="15" hidden="0" customHeight="1">
      <x:c r="A36" t="str">
        <x:v>Scenario planning</x:v>
      </x:c>
      <x:c r="B36" t="str">
        <x:v>Base / Upside / Downside driver tables with a single scenario selector</x:v>
      </x:c>
      <x:c r="C36" t="str"/>
    </x:row>
    <x:row r="37" ht="15" hidden="0" customHeight="1">
      <x:c r="A37" t="str">
        <x:v>FP&amp;A automation</x:v>
      </x:c>
      <x:c r="B37" t="str">
        <x:v>Raw actuals import → mapping → staging → statements without manual re-keying</x:v>
      </x:c>
      <x:c r="C37" t="str"/>
    </x:row>
    <x:row r="38" ht="15" hidden="0" customHeight="1">
      <x:c r="A38" t="str">
        <x:v>Model governance</x:v>
      </x:c>
      <x:c r="B38" t="str">
        <x:v>Unmapped-account exception control plus balance sheet, cash, and equity checks</x:v>
      </x:c>
      <x:c r="C38" t="str"/>
    </x:row>
    <x:row r="39" ht="15" hidden="0" customHeight="1">
      <x:c r="A39" t="str">
        <x:v>AI-enabled analysis</x:v>
      </x:c>
      <x:c r="B39" t="str">
        <x:v>Live model outputs feed a structured AI management-commentary prompt</x:v>
      </x:c>
      <x:c r="C39" t="str"/>
    </x:row>
    <x:row r="40" ht="15" hidden="0" customHeight="1">
      <x:c r="A40" t="str">
        <x:v>Executive communication</x:v>
      </x:c>
      <x:c r="B40" t="str">
        <x:v>Dashboard summarizes revenue, EBITDA margin, FCF, and liquidity</x:v>
      </x:c>
      <x:c r="C40" t="str"/>
    </x:row>
    <x:row r="41" ht="15" hidden="0" customHeight="1">
      <x:c r="A41" s="301" t="str">
        <x:v>v1.2 Budget vs Actual + Rolling Forecast Workflow</x:v>
      </x:c>
      <x:c r="B41" s="301"/>
      <x:c r="C41" s="301"/>
    </x:row>
    <x:row r="42" ht="15" hidden="0" customHeight="1">
      <x:c r="A42" s="230" t="str">
        <x:v>1</x:v>
      </x:c>
      <x:c r="B42" s="230" t="str">
        <x:v>Set the Close Through month on Planning_Assumptions. The demo defaults to Aug-26.</x:v>
      </x:c>
      <x:c r="C42" s="230"/>
    </x:row>
    <x:row r="43" ht="26.399999618530273" hidden="0" customHeight="1">
      <x:c r="A43" s="174" t="str">
        <x:v>2</x:v>
      </x:c>
      <x:c r="B43" s="12" t="str">
        <x:v>Budget_2026 builds a monthly driver-based P&amp;L from annual budget assumptions and revenue seasonality.</x:v>
      </x:c>
      <x:c r="C43" s="174"/>
    </x:row>
    <x:row r="44" ht="15" hidden="0" customHeight="1">
      <x:c r="A44" s="174" t="str">
        <x:v>3</x:v>
      </x:c>
      <x:c r="B44" s="12" t="str">
        <x:v>Rolling_Forecast automatically classifies closed periods as Actual and future periods as Forecast.</x:v>
      </x:c>
      <x:c r="C44" s="174"/>
    </x:row>
    <x:row r="45" ht="26.399999618530273" hidden="0" customHeight="1">
      <x:c r="A45" s="174" t="str">
        <x:v>4</x:v>
      </x:c>
      <x:c r="B45" s="12" t="str">
        <x:v>Closed months pull directly from Actuals_Staging; future revenue scales remaining budget by the YTD actual / budget realization factor.</x:v>
      </x:c>
      <x:c r="C45" s="174"/>
    </x:row>
    <x:row r="46" ht="26.399999618530273" hidden="0" customHeight="1">
      <x:c r="A46" s="174" t="str">
        <x:v>5</x:v>
      </x:c>
      <x:c r="B46" s="12" t="str">
        <x:v>Future gross margin and operating-expense ratios reforecast from YTD actual run rates plus transparent adjustment inputs.</x:v>
      </x:c>
      <x:c r="C46" s="174"/>
    </x:row>
    <x:row r="47" ht="26.399999618530273" hidden="0" customHeight="1">
      <x:c r="A47" s="174" t="str">
        <x:v>6</x:v>
      </x:c>
      <x:c r="B47" s="12" t="str">
        <x:v>BvA_Analysis calculates monthly and YTD variances and flags material exceptions using both dollar and percentage thresholds.</x:v>
      </x:c>
      <x:c r="C47" s="174"/>
    </x:row>
    <x:row r="48" ht="26.399999618530273" hidden="0" customHeight="1">
      <x:c r="A48" s="174" t="str">
        <x:v>6</x:v>
      </x:c>
      <x:c r="B48" s="12" t="str">
        <x:v>BvA_Analysis applies both dollar and percentage materiality thresholds; v1.2.1 additionally classifies material variances as favorable or unfavorable.</x:v>
      </x:c>
      <x:c r="C48" s="174"/>
    </x:row>
    <x:row r="49" ht="15" hidden="0" customHeight="1">
      <x:c r="A49" s="174"/>
      <x:c r="B49" s="174"/>
      <x:c r="C49" s="174"/>
    </x:row>
    <x:row r="50" ht="15" hidden="0" customHeight="1">
      <x:c r="A50" s="366" t="str">
        <x:v>v1.2.1 Variance Intelligence Enhancement</x:v>
      </x:c>
      <x:c r="B50" s="364"/>
      <x:c r="C50" s="364"/>
    </x:row>
    <x:row r="51" ht="15" hidden="0" customHeight="1">
      <x:c r="A51" s="26" t="str">
        <x:v>1</x:v>
      </x:c>
      <x:c r="B51" s="26" t="str">
        <x:v>Material exceptions now read FAVORABLE — REVIEW or UNFAVORABLE — REVIEW instead of generic REVIEW.</x:v>
      </x:c>
      <x:c r="C51" s="26"/>
    </x:row>
    <x:row r="52" ht="15" hidden="0" customHeight="1">
      <x:c r="A52" s="12" t="str">
        <x:v>2</x:v>
      </x:c>
      <x:c r="B52" s="12" t="str">
        <x:v>YTD variance lines include Classification and Driver / Interpretation fields to distinguish root causes from downstream outcomes.</x:v>
      </x:c>
      <x:c r="C52" s="12"/>
    </x:row>
    <x:row r="53" ht="15" hidden="0" customHeight="1">
      <x:c r="A53" s="12" t="str">
        <x:v>3</x:v>
      </x:c>
      <x:c r="B53" s="12" t="str">
        <x:v>EBIT, EBT, taxes, and net income are treated as derived where appropriate, preventing cascading P&amp;L results from being presented as separate root causes.</x:v>
      </x:c>
      <x:c r="C53" s="12"/>
    </x:row>
    <x:row r="54" ht="15" hidden="0" customHeight="1">
      <x:c r="A54" s="12" t="str">
        <x:v>4</x:v>
      </x:c>
      <x:c r="B54" s="12" t="str">
        <x:v>Taxes show EXPECTED — DERIVED when the effective tax rate remains consistent and higher tax expense is simply the consequence of higher EBT.</x:v>
      </x:c>
      <x:c r="C54" s="12"/>
    </x:row>
    <x:row r="55" ht="15" hidden="0" customHeight="1">
      <x:c r="A55" s="12"/>
      <x:c r="B55" s="12"/>
      <x:c r="C55" s="12"/>
    </x:row>
    <x:row r="56" ht="15" hidden="0" customHeight="1">
      <x:c r="A56" s="364" t="str">
        <x:v>Automation roadmap</x:v>
      </x:c>
      <x:c r="B56" s="364"/>
      <x:c r="C56" s="364"/>
    </x:row>
    <x:row r="57" ht="15" hidden="0" customHeight="1">
      <x:c r="A57" s="504" t="str">
        <x:v>Version</x:v>
      </x:c>
      <x:c r="B57" s="504" t="str">
        <x:v>Deliverable</x:v>
      </x:c>
      <x:c r="C57" s="504" t="str">
        <x:v>Status</x:v>
      </x:c>
    </x:row>
    <x:row r="58" ht="15" hidden="0" customHeight="1">
      <x:c r="A58" s="12" t="str">
        <x:v>v1.0</x:v>
      </x:c>
      <x:c r="B58" s="12" t="str">
        <x:v>Integrated annual 3-statement model + scenarios + dashboard + AI prompt</x:v>
      </x:c>
      <x:c r="C58" s="12" t="str">
        <x:v>Built</x:v>
      </x:c>
    </x:row>
    <x:row r="59" ht="15" hidden="0" customHeight="1">
      <x:c r="A59" s="12" t="str">
        <x:v>v1.1</x:v>
      </x:c>
      <x:c r="B59" s="12" t="str">
        <x:v>ERP / CSV-style actuals import, account mapping, staging, and controls</x:v>
      </x:c>
      <x:c r="C59" s="12" t="str">
        <x:v>Built</x:v>
      </x:c>
    </x:row>
    <x:row r="60">
      <x:c r="A60" s="12" t="str">
        <x:v>v1.2 / v1.2.1</x:v>
      </x:c>
      <x:c r="B60" s="12" t="str">
        <x:v>Budget vs Actual + rolling forecast + variance intelligence</x:v>
      </x:c>
      <x:c r="C60" s="12" t="str">
        <x:v>Built</x:v>
      </x:c>
    </x:row>
    <x:row r="61">
      <x:c r="A61" s="12" t="str">
        <x:v>v1.3</x:v>
      </x:c>
      <x:c r="B61" s="12" t="str">
        <x:v>Power Query refresh workflow for actuals</x:v>
      </x:c>
      <x:c r="C61" s="12" t="str">
        <x:v>Built</x:v>
      </x:c>
    </x:row>
    <x:row r="62">
      <x:c r="A62" s="12" t="str">
        <x:v>v1.4</x:v>
      </x:c>
      <x:c r="B62" s="12" t="str">
        <x:v>Application shell + FP&amp;A Command Center + workflow navigation</x:v>
      </x:c>
      <x:c r="C62" s="12" t="str">
        <x:v>Built</x:v>
      </x:c>
    </x:row>
    <x:row r="63">
      <x:c r="A63" s="12" t="str">
        <x:v>v1.5</x:v>
      </x:c>
      <x:c r="B63" s="12" t="str">
        <x:v>Portfolio-release polish + application guide + demo workflow</x:v>
      </x:c>
      <x:c r="C63" s="12" t="str">
        <x:v>Release</x:v>
      </x:c>
    </x:row>
    <x:row r="64">
      <x:c r="A64" s="12" t="str">
        <x:v>v1.5.1</x:v>
      </x:c>
      <x:c r="B64" s="12" t="str">
        <x:v>Usability polish: governance status formatting, clearer refresh workflow, freeze panes, and visual controls</x:v>
      </x:c>
      <x:c r="C64" s="12" t="str">
        <x:v>Release patch</x:v>
      </x:c>
    </x:row>
    <x:row r="65">
      <x:c r="A65" s="12" t="str">
        <x:v>v2.0</x:v>
      </x:c>
      <x:c r="B65" s="12" t="str">
        <x:v>Deeper AI / Copilot/API-assisted monthly commentary workflow</x:v>
      </x:c>
      <x:c r="C65" s="12" t="str">
        <x:v>Planned</x:v>
      </x:c>
    </x:row>
    <x:row r="66">
      <x:c r="A66" s="12" t="str">
        <x:v>Important: all company data in this workbook is synthetic and intended for portfolio demonstration only.</x:v>
      </x:c>
      <x:c r="B66" s="12"/>
      <x:c r="C66" s="12"/>
    </x:row>
    <x:row r="68">
      <x:c r="A68" s="404" t="str">
        <x:v>v1.3 Power Query Refresh Workflow</x:v>
      </x:c>
      <x:c r="B68" s="404"/>
      <x:c r="C68" s="404"/>
    </x:row>
    <x:row r="69">
      <x:c r="A69" s="12" t="str">
        <x:v>1</x:v>
      </x:c>
      <x:c r="B69" s="12" t="str">
        <x:v>External source file: AI_FP&amp;A_Actuals_Source_v1.3.csv. Replace this file with each monthly GL/ERP export while keeping the same schema and filename.</x:v>
      </x:c>
      <x:c r="C69" s="12"/>
    </x:row>
    <x:row r="70">
      <x:c r="A70" s="12" t="str">
        <x:v>2</x:v>
      </x:c>
      <x:c r="B70" s="12" t="str">
        <x:v>Power_Query_Control contains a parameter table (tblPQConfig), query diagnostics, exact setup steps, and paste-ready M code for qry_Actuals.</x:v>
      </x:c>
      <x:c r="C70" s="12"/>
    </x:row>
    <x:row r="71">
      <x:c r="A71" s="12" t="str">
        <x:v>3</x:v>
      </x:c>
      <x:c r="B71" s="12" t="str">
        <x:v>Power Query loads the external file to PQ_Actuals columns A:I. Column J independently validates account mapping.</x:v>
      </x:c>
      <x:c r="C71" s="12"/>
    </x:row>
    <x:row r="72">
      <x:c r="A72" s="12" t="str">
        <x:v>4</x:v>
      </x:c>
      <x:c r="B72" s="12" t="str">
        <x:v>Account_Map and Actuals_Staging now use PQ_Actuals as the governed source, so statements, BvA, rolling forecast, dashboards, and AI prompts all update from the refreshed landing zone.</x:v>
      </x:c>
      <x:c r="C72" s="12"/>
    </x:row>
    <x:row r="73">
      <x:c r="A73" s="12" t="str">
        <x:v>5</x:v>
      </x:c>
      <x:c r="B73" s="12" t="str">
        <x:v>Refresh governance checks row count, unmapped accounts, latest accounting period, refresh timestamp, and model-import status before Finance relies on results.</x:v>
      </x:c>
      <x:c r="C73" s="12"/>
    </x:row>
    <x:row r="74">
      <x:c r="A74" s="12" t="str">
        <x:v>6</x:v>
      </x:c>
      <x:c r="B74" s="12" t="str">
        <x:v>After the one-time Excel Desktop connection is created, recurring close workflow is: overwrite source CSV → Refresh All → resolve mapping exceptions → advance Close Through → review forecast.</x:v>
      </x:c>
      <x:c r="C74" s="12"/>
    </x:row>
    <x:row r="75">
      <x:c r="A75" s="12"/>
      <x:c r="B75" s="12"/>
      <x:c r="C75" s="12"/>
    </x:row>
    <x:row r="76">
      <x:c r="A76" s="406" t="str">
        <x:v>Portfolio talking point</x:v>
      </x:c>
      <x:c r="B76" s="406" t="str">
        <x:v>v1.3 separates data ingestion from modeling logic and adds refresh/audit controls, demonstrating an end-to-end Excel + Power Query FP&amp;A workflow rather than a static spreadsheet.</x:v>
      </x:c>
      <x:c r="C76" s="406"/>
    </x:row>
    <x:row r="77">
      <x:c r="A77" s="12"/>
      <x:c r="B77" s="12"/>
      <x:c r="C77" s="12"/>
    </x:row>
    <x:row r="78">
      <x:c r="A78" s="12" t="str">
        <x:v>Important</x:v>
      </x:c>
      <x:c r="B78" s="12" t="str">
        <x:v>Power Query M code is included in the workbook. Excel Desktop performs the one-time query creation and stores the local connection on the user's machine.</x:v>
      </x:c>
      <x:c r="C78" s="12"/>
    </x:row>
  </x:sheetData>
  <x:mergeCells>
    <x:mergeCell ref="A1:H1"/>
    <x:mergeCell ref="A3:H3"/>
    <x:mergeCell ref="A4:H6"/>
    <x:mergeCell ref="A8:H8"/>
    <x:mergeCell ref="A16:H16"/>
    <x:mergeCell ref="A25:H25"/>
    <x:mergeCell ref="A33:H34"/>
    <x:mergeCell ref="A41:C41"/>
    <x:mergeCell ref="A50:C50"/>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4" hidden="0" customWidth="1"/>
    <x:col min="3" max="3" width="46" hidden="0" customWidth="1"/>
    <x:col min="4" max="4" width="14" hidden="0" customWidth="1"/>
  </x:cols>
  <x:sheetData>
    <x:row r="1" ht="26" customHeight="1">
      <x:c r="A1" s="34" t="str">
        <x:v>Synthetic SaaS Company | 2026 Actuals Feed (Automated)</x:v>
      </x:c>
      <x:c r="B1" s="35"/>
      <x:c r="C1" s="35"/>
      <x:c r="D1" s="35"/>
    </x:row>
    <x:row r="2">
      <x:c r="A2" s="58" t="str">
        <x:v>Units: USD $mm unless otherwise noted | Green font = linked from Actuals_Staging</x:v>
      </x:c>
      <x:c r="B2" s="35"/>
      <x:c r="C2" s="35"/>
      <x:c r="D2" s="35"/>
    </x:row>
    <x:row r="3">
      <x:c r="A3" s="35"/>
      <x:c r="B3" s="35"/>
      <x:c r="C3" s="35"/>
      <x:c r="D3" s="35"/>
    </x:row>
    <x:row r="4">
      <x:c r="A4" s="38" t="str">
        <x:v>Income Statement Inputs</x:v>
      </x:c>
      <x:c r="B4" s="35"/>
      <x:c r="C4" s="35"/>
      <x:c r="D4" s="35"/>
    </x:row>
    <x:row r="5">
      <x:c r="A5" s="59" t="str">
        <x:v>Metric</x:v>
      </x:c>
      <x:c r="B5" s="59" t="str">
        <x:v>2026A</x:v>
      </x:c>
      <x:c r="C5" s="59" t="str">
        <x:v>Source / Note</x:v>
      </x:c>
      <x:c r="D5" s="59" t="str">
        <x:v>Input Type</x:v>
      </x:c>
    </x:row>
    <x:row r="6">
      <x:c r="A6" s="35" t="str">
        <x:v>Revenue</x:v>
      </x:c>
      <x:c r="B6" s="124" t="n">
        <x:f>Actuals_Staging!P13</x:f>
        <x:v>20</x:v>
      </x:c>
      <x:c r="C6" s="35" t="str">
        <x:v>Linked from staged ERP / GL actuals</x:v>
      </x:c>
      <x:c r="D6" s="35" t="str">
        <x:v>Automated</x:v>
      </x:c>
    </x:row>
    <x:row r="7">
      <x:c r="A7" s="35" t="str">
        <x:v>COGS</x:v>
      </x:c>
      <x:c r="B7" s="124" t="n">
        <x:f>Actuals_Staging!P14</x:f>
        <x:v>5</x:v>
      </x:c>
      <x:c r="C7" s="35" t="str">
        <x:v>Linked from staged ERP / GL actuals</x:v>
      </x:c>
      <x:c r="D7" s="35" t="str">
        <x:v>Automated</x:v>
      </x:c>
    </x:row>
    <x:row r="8">
      <x:c r="A8" s="35" t="str">
        <x:v>Sales &amp; Marketing</x:v>
      </x:c>
      <x:c r="B8" s="124" t="n">
        <x:f>Actuals_Staging!P15</x:f>
        <x:v>5.999999999999999</x:v>
      </x:c>
      <x:c r="C8" s="35" t="str">
        <x:v>Linked from staged ERP / GL actuals</x:v>
      </x:c>
      <x:c r="D8" s="35" t="str">
        <x:v>Automated</x:v>
      </x:c>
    </x:row>
    <x:row r="9">
      <x:c r="A9" s="35" t="str">
        <x:v>R&amp;D</x:v>
      </x:c>
      <x:c r="B9" s="124" t="n">
        <x:f>Actuals_Staging!P16</x:f>
        <x:v>3.6</x:v>
      </x:c>
      <x:c r="C9" s="35" t="str">
        <x:v>Linked from staged ERP / GL actuals</x:v>
      </x:c>
      <x:c r="D9" s="35" t="str">
        <x:v>Automated</x:v>
      </x:c>
    </x:row>
    <x:row r="10">
      <x:c r="A10" s="35" t="str">
        <x:v>G&amp;A</x:v>
      </x:c>
      <x:c r="B10" s="124" t="n">
        <x:f>Actuals_Staging!P17</x:f>
        <x:v>2.9999999999999996</x:v>
      </x:c>
      <x:c r="C10" s="35" t="str">
        <x:v>Linked from staged ERP / GL actuals</x:v>
      </x:c>
      <x:c r="D10" s="35" t="str">
        <x:v>Automated</x:v>
      </x:c>
    </x:row>
    <x:row r="11">
      <x:c r="A11" s="35" t="str">
        <x:v>D&amp;A</x:v>
      </x:c>
      <x:c r="B11" s="124" t="n">
        <x:f>Actuals_Staging!P18</x:f>
        <x:v>0.4</x:v>
      </x:c>
      <x:c r="C11" s="35" t="str">
        <x:v>Linked from staged ERP / GL actuals</x:v>
      </x:c>
      <x:c r="D11" s="35" t="str">
        <x:v>Automated</x:v>
      </x:c>
    </x:row>
    <x:row r="12">
      <x:c r="A12" s="35" t="str">
        <x:v>Interest Expense</x:v>
      </x:c>
      <x:c r="B12" s="124" t="n">
        <x:f>Actuals_Staging!P19</x:f>
        <x:v>0.30000000000000004</x:v>
      </x:c>
      <x:c r="C12" s="35" t="str">
        <x:v>Linked from staged ERP / GL actuals</x:v>
      </x:c>
      <x:c r="D12" s="35" t="str">
        <x:v>Automated</x:v>
      </x:c>
    </x:row>
    <x:row r="13">
      <x:c r="A13" s="35" t="str">
        <x:v>Taxes</x:v>
      </x:c>
      <x:c r="B13" s="124" t="n">
        <x:f>Actuals_Staging!P20</x:f>
        <x:v>0.425</x:v>
      </x:c>
      <x:c r="C13" s="35" t="str">
        <x:v>Linked from staged ERP / GL actuals</x:v>
      </x:c>
      <x:c r="D13" s="35" t="str">
        <x:v>Automated</x:v>
      </x:c>
    </x:row>
    <x:row r="14">
      <x:c r="A14" s="35"/>
      <x:c r="B14" s="125"/>
      <x:c r="C14" s="35"/>
      <x:c r="D14" s="35"/>
    </x:row>
    <x:row r="15">
      <x:c r="A15" s="38" t="str">
        <x:v>Balance Sheet Inputs</x:v>
      </x:c>
      <x:c r="B15" s="125"/>
      <x:c r="C15" s="35"/>
      <x:c r="D15" s="35"/>
    </x:row>
    <x:row r="16">
      <x:c r="A16" s="59" t="str">
        <x:v>Metric</x:v>
      </x:c>
      <x:c r="B16" s="209" t="str">
        <x:v>2026A</x:v>
      </x:c>
      <x:c r="C16" s="59" t="str">
        <x:v>Source / Note</x:v>
      </x:c>
      <x:c r="D16" s="59" t="str">
        <x:v>Input Type</x:v>
      </x:c>
    </x:row>
    <x:row r="17">
      <x:c r="A17" s="35" t="str">
        <x:v>Cash</x:v>
      </x:c>
      <x:c r="B17" s="124" t="n">
        <x:f>Actuals_Staging!P21</x:f>
        <x:v>4</x:v>
      </x:c>
      <x:c r="C17" s="35" t="str">
        <x:v>Linked from staged ERP / GL actuals</x:v>
      </x:c>
      <x:c r="D17" s="35" t="str">
        <x:v>Automated</x:v>
      </x:c>
    </x:row>
    <x:row r="18">
      <x:c r="A18" s="35" t="str">
        <x:v>Accounts Receivable</x:v>
      </x:c>
      <x:c r="B18" s="124" t="n">
        <x:f>Actuals_Staging!P22</x:f>
        <x:v>2.4657534246575343</x:v>
      </x:c>
      <x:c r="C18" s="35" t="str">
        <x:v>Linked from staged ERP / GL actuals</x:v>
      </x:c>
      <x:c r="D18" s="35" t="str">
        <x:v>Automated</x:v>
      </x:c>
    </x:row>
    <x:row r="19">
      <x:c r="A19" s="35" t="str">
        <x:v>Other Current Assets</x:v>
      </x:c>
      <x:c r="B19" s="124" t="n">
        <x:f>Actuals_Staging!P23</x:f>
        <x:v>0.6</x:v>
      </x:c>
      <x:c r="C19" s="35" t="str">
        <x:v>Linked from staged ERP / GL actuals</x:v>
      </x:c>
      <x:c r="D19" s="35" t="str">
        <x:v>Automated</x:v>
      </x:c>
    </x:row>
    <x:row r="20">
      <x:c r="A20" s="35" t="str">
        <x:v>PP&amp;E, Net</x:v>
      </x:c>
      <x:c r="B20" s="124" t="n">
        <x:f>Actuals_Staging!P24</x:f>
        <x:v>2</x:v>
      </x:c>
      <x:c r="C20" s="35" t="str">
        <x:v>Linked from staged ERP / GL actuals</x:v>
      </x:c>
      <x:c r="D20" s="35" t="str">
        <x:v>Automated</x:v>
      </x:c>
    </x:row>
    <x:row r="21">
      <x:c r="A21" s="35" t="str">
        <x:v>Accounts Payable</x:v>
      </x:c>
      <x:c r="B21" s="124" t="n">
        <x:f>Actuals_Staging!P25</x:f>
        <x:v>0.410958904109589</x:v>
      </x:c>
      <x:c r="C21" s="35" t="str">
        <x:v>Linked from staged ERP / GL actuals</x:v>
      </x:c>
      <x:c r="D21" s="35" t="str">
        <x:v>Automated</x:v>
      </x:c>
    </x:row>
    <x:row r="22">
      <x:c r="A22" s="35" t="str">
        <x:v>Accrued Expenses</x:v>
      </x:c>
      <x:c r="B22" s="124" t="n">
        <x:f>Actuals_Staging!P26</x:f>
        <x:v>1.008</x:v>
      </x:c>
      <x:c r="C22" s="35" t="str">
        <x:v>Linked from staged ERP / GL actuals</x:v>
      </x:c>
      <x:c r="D22" s="35" t="str">
        <x:v>Automated</x:v>
      </x:c>
    </x:row>
    <x:row r="23">
      <x:c r="A23" s="35" t="str">
        <x:v>Deferred Revenue</x:v>
      </x:c>
      <x:c r="B23" s="124" t="n">
        <x:f>Actuals_Staging!P27</x:f>
        <x:v>2</x:v>
      </x:c>
      <x:c r="C23" s="35" t="str">
        <x:v>Linked from staged ERP / GL actuals</x:v>
      </x:c>
      <x:c r="D23" s="35" t="str">
        <x:v>Automated</x:v>
      </x:c>
    </x:row>
    <x:row r="24">
      <x:c r="A24" s="35" t="str">
        <x:v>Debt</x:v>
      </x:c>
      <x:c r="B24" s="124" t="n">
        <x:f>Actuals_Staging!P28</x:f>
        <x:v>2.5</x:v>
      </x:c>
      <x:c r="C24" s="35" t="str">
        <x:v>Linked from staged ERP / GL actuals</x:v>
      </x:c>
      <x:c r="D24" s="35" t="str">
        <x:v>Automated</x:v>
      </x:c>
    </x:row>
    <x:row r="25">
      <x:c r="A25" s="35" t="str">
        <x:v>Equity</x:v>
      </x:c>
      <x:c r="B25" s="124" t="n">
        <x:f>Actuals_Staging!P29</x:f>
        <x:v>3.146794520547944</x:v>
      </x:c>
      <x:c r="C25" s="35" t="str">
        <x:v>Linked from staged ERP / GL actuals</x:v>
      </x:c>
      <x:c r="D25" s="35" t="str">
        <x:v>Automated</x:v>
      </x:c>
    </x:row>
    <x:row r="26">
      <x:c r="A26" s="35"/>
      <x:c r="B26" s="125"/>
      <x:c r="C26" s="35"/>
      <x:c r="D26" s="35"/>
    </x:row>
    <x:row r="27">
      <x:c r="A27" s="38" t="str">
        <x:v>Cash Flow Inputs</x:v>
      </x:c>
      <x:c r="B27" s="125"/>
      <x:c r="C27" s="35"/>
      <x:c r="D27" s="35"/>
    </x:row>
    <x:row r="28">
      <x:c r="A28" s="59" t="str">
        <x:v>Metric</x:v>
      </x:c>
      <x:c r="B28" s="209" t="str">
        <x:v>2026A</x:v>
      </x:c>
      <x:c r="C28" s="59" t="str">
        <x:v>Source / Note</x:v>
      </x:c>
      <x:c r="D28" s="59" t="str">
        <x:v>Input Type</x:v>
      </x:c>
    </x:row>
    <x:row r="29">
      <x:c r="A29" s="35" t="str">
        <x:v>Change in A/R</x:v>
      </x:c>
      <x:c r="B29" s="124" t="n">
        <x:f>Actuals_Staging!P30</x:f>
        <x:v>-0.3</x:v>
      </x:c>
      <x:c r="C29" s="35" t="str">
        <x:v>Linked from staged ERP / GL actuals</x:v>
      </x:c>
      <x:c r="D29" s="35" t="str">
        <x:v>Automated</x:v>
      </x:c>
    </x:row>
    <x:row r="30">
      <x:c r="A30" s="35" t="str">
        <x:v>Change in Other Current Assets</x:v>
      </x:c>
      <x:c r="B30" s="124" t="n">
        <x:f>Actuals_Staging!P31</x:f>
        <x:v>-0.1</x:v>
      </x:c>
      <x:c r="C30" s="35" t="str">
        <x:v>Linked from staged ERP / GL actuals</x:v>
      </x:c>
      <x:c r="D30" s="35" t="str">
        <x:v>Automated</x:v>
      </x:c>
    </x:row>
    <x:row r="31">
      <x:c r="A31" s="35" t="str">
        <x:v>Change in A/P</x:v>
      </x:c>
      <x:c r="B31" s="124" t="n">
        <x:f>Actuals_Staging!P32</x:f>
        <x:v>0.05</x:v>
      </x:c>
      <x:c r="C31" s="35" t="str">
        <x:v>Linked from staged ERP / GL actuals</x:v>
      </x:c>
      <x:c r="D31" s="35" t="str">
        <x:v>Automated</x:v>
      </x:c>
    </x:row>
    <x:row r="32">
      <x:c r="A32" s="35" t="str">
        <x:v>Change in Accrued Expenses</x:v>
      </x:c>
      <x:c r="B32" s="124" t="n">
        <x:f>Actuals_Staging!P33</x:f>
        <x:v>0.1</x:v>
      </x:c>
      <x:c r="C32" s="35" t="str">
        <x:v>Linked from staged ERP / GL actuals</x:v>
      </x:c>
      <x:c r="D32" s="35" t="str">
        <x:v>Automated</x:v>
      </x:c>
    </x:row>
    <x:row r="33">
      <x:c r="A33" s="35" t="str">
        <x:v>Change in Deferred Revenue</x:v>
      </x:c>
      <x:c r="B33" s="124" t="n">
        <x:f>Actuals_Staging!P34</x:f>
        <x:v>0.2</x:v>
      </x:c>
      <x:c r="C33" s="35" t="str">
        <x:v>Linked from staged ERP / GL actuals</x:v>
      </x:c>
      <x:c r="D33" s="35" t="str">
        <x:v>Automated</x:v>
      </x:c>
    </x:row>
    <x:row r="34">
      <x:c r="A34" s="35" t="str">
        <x:v>Capex</x:v>
      </x:c>
      <x:c r="B34" s="124" t="n">
        <x:f>Actuals_Staging!P35</x:f>
        <x:v>-0.5</x:v>
      </x:c>
      <x:c r="C34" s="35" t="str">
        <x:v>Linked from staged ERP / GL actuals</x:v>
      </x:c>
      <x:c r="D34" s="35" t="str">
        <x:v>Automated</x:v>
      </x:c>
    </x:row>
    <x:row r="35">
      <x:c r="A35" s="35" t="str">
        <x:v>Debt Repayment</x:v>
      </x:c>
      <x:c r="B35" s="124" t="n">
        <x:f>Actuals_Staging!P36</x:f>
        <x:v>-0.4</x:v>
      </x:c>
      <x:c r="C35" s="35" t="str">
        <x:v>Linked from staged ERP / GL actuals</x:v>
      </x:c>
      <x:c r="D35" s="35" t="str">
        <x:v>Automated</x:v>
      </x:c>
    </x:row>
    <x:row r="36">
      <x:c r="A36" s="35" t="str">
        <x:v>Dividends</x:v>
      </x:c>
      <x:c r="B36" s="124" t="n">
        <x:f>Actuals_Staging!P37</x:f>
        <x:v>0</x:v>
      </x:c>
      <x:c r="C36" s="35" t="str">
        <x:v>Linked from staged ERP / GL actuals</x:v>
      </x:c>
      <x:c r="D36" s="35" t="str">
        <x:v>Automated</x:v>
      </x:c>
    </x:row>
    <x:row r="37">
      <x:c r="A37" s="35" t="str">
        <x:v>Beginning Cash</x:v>
      </x:c>
      <x:c r="B37" s="124" t="n">
        <x:f>Actuals_Staging!P38</x:f>
        <x:v>3.275</x:v>
      </x:c>
      <x:c r="C37" s="35" t="str">
        <x:v>Linked from staged ERP / GL actuals</x:v>
      </x:c>
      <x:c r="D37" s="35" t="str">
        <x:v>Automated</x:v>
      </x:c>
    </x:row>
    <x:row r="38">
      <x:c r="A38" s="35"/>
      <x:c r="B38" s="35"/>
      <x:c r="C38" s="35"/>
      <x:c r="D38" s="35"/>
    </x:row>
    <x:row r="39">
      <x:c r="A39" s="35"/>
      <x:c r="B39" s="35"/>
      <x:c r="C39" s="35"/>
      <x:c r="D39" s="35"/>
    </x:row>
    <x:row r="40">
      <x:c r="A40" s="35"/>
      <x:c r="B40" s="35"/>
      <x:c r="C40" s="35"/>
      <x:c r="D40" s="35"/>
    </x:row>
  </x:sheetData>
  <x:mergeCells>
    <x:mergeCell ref="A1:D1"/>
    <x:mergeCell ref="A2:D2"/>
    <x:mergeCell ref="A4:D4"/>
    <x:mergeCell ref="A15:D15"/>
    <x:mergeCell ref="A27:D27"/>
  </x:mergeCells>
  <x:pageMargins left="0.7" right="0.7" top="0.75" bottom="0.75" header="0.3" footer="0.3"/>
  <x:legacyDrawing xmlns:r="http://schemas.openxmlformats.org/officeDocument/2006/relationships" r:id="R62a36d3bb8764083"/>
</x:worksheet>
</file>

<file path=xl/worksheets/sheet4.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 min="7" max="7" width="30" hidden="0" customWidth="1"/>
  </x:cols>
  <x:sheetData>
    <x:row r="1" ht="26" customHeight="1">
      <x:c r="A1" s="34" t="str">
        <x:v>Forecast Assumptions &amp; Scenario Selector</x:v>
      </x:c>
      <x:c r="B1" s="35"/>
      <x:c r="C1" s="35"/>
      <x:c r="D1" s="35"/>
      <x:c r="E1" s="35"/>
      <x:c r="F1" s="35"/>
    </x:row>
    <x:row r="2" ht="28" customHeight="1">
      <x:c r="A2" s="451" t="str">
        <x:v>Input convention: blue font / yellow fill = editable scenario inputs | black = calculations | green = linked worksheet values.</x:v>
      </x:c>
      <x:c r="B2" s="451"/>
      <x:c r="C2" s="451"/>
      <x:c r="D2" s="451"/>
      <x:c r="E2" s="451"/>
      <x:c r="F2" s="451"/>
      <x:c r="G2" s="430"/>
    </x:row>
    <x:row r="3">
      <x:c r="A3" s="35" t="str">
        <x:v>Scenario</x:v>
      </x:c>
      <x:c r="B3" s="82" t="str">
        <x:v>Base</x:v>
      </x:c>
      <x:c r="C3" s="35"/>
      <x:c r="D3" s="35"/>
      <x:c r="E3" s="35"/>
      <x:c r="F3" s="35"/>
    </x:row>
    <x:row r="4">
      <x:c r="A4" s="35"/>
      <x:c r="B4" s="35"/>
      <x:c r="C4" s="35"/>
      <x:c r="D4" s="35"/>
      <x:c r="E4" s="35"/>
      <x:c r="F4" s="35"/>
    </x:row>
    <x:row r="5">
      <x:c r="A5" s="38" t="str">
        <x:v>Selected Forecast Drivers</x:v>
      </x:c>
      <x:c r="B5" s="35"/>
      <x:c r="C5" s="35"/>
      <x:c r="D5" s="35"/>
      <x:c r="E5" s="35"/>
      <x:c r="F5" s="35"/>
    </x:row>
    <x:row r="6">
      <x:c r="A6" s="83" t="str">
        <x:v>Driver</x:v>
      </x:c>
      <x:c r="B6" s="84" t="str">
        <x:v>2027E</x:v>
      </x:c>
      <x:c r="C6" s="84" t="str">
        <x:v>2028E</x:v>
      </x:c>
      <x:c r="D6" s="84" t="str">
        <x:v>2029E</x:v>
      </x:c>
      <x:c r="E6" s="84" t="str">
        <x:v>2030E</x:v>
      </x:c>
      <x:c r="F6" s="35"/>
    </x:row>
    <x:row r="7">
      <x:c r="A7" s="35" t="str">
        <x:v>Revenue Growth</x:v>
      </x:c>
      <x:c r="B7" s="85" t="n">
        <x:f>SUMIFS($C$27:$C$77,$A$27:$A$77,$A7,$B$27:$B$77,$B$3)</x:f>
        <x:v>0.25</x:v>
      </x:c>
      <x:c r="C7" s="85" t="n">
        <x:f>SUMIFS($D$27:$D$77,$A$27:$A$77,$A7,$B$27:$B$77,$B$3)</x:f>
        <x:v>0.22</x:v>
      </x:c>
      <x:c r="D7" s="85" t="n">
        <x:f>SUMIFS($E$27:$E$77,$A$27:$A$77,$A7,$B$27:$B$77,$B$3)</x:f>
        <x:v>0.2</x:v>
      </x:c>
      <x:c r="E7" s="85" t="n">
        <x:f>SUMIFS($F$27:$F$77,$A$27:$A$77,$A7,$B$27:$B$77,$B$3)</x:f>
        <x:v>0.18</x:v>
      </x:c>
      <x:c r="F7" s="35"/>
    </x:row>
    <x:row r="8">
      <x:c r="A8" s="35" t="str">
        <x:v>Gross Margin</x:v>
      </x:c>
      <x:c r="B8" s="85" t="n">
        <x:f>SUMIFS($C$27:$C$77,$A$27:$A$77,$A8,$B$27:$B$77,$B$3)</x:f>
        <x:v>0.76</x:v>
      </x:c>
      <x:c r="C8" s="85" t="n">
        <x:f>SUMIFS($D$27:$D$77,$A$27:$A$77,$A8,$B$27:$B$77,$B$3)</x:f>
        <x:v>0.77</x:v>
      </x:c>
      <x:c r="D8" s="85" t="n">
        <x:f>SUMIFS($E$27:$E$77,$A$27:$A$77,$A8,$B$27:$B$77,$B$3)</x:f>
        <x:v>0.78</x:v>
      </x:c>
      <x:c r="E8" s="85" t="n">
        <x:f>SUMIFS($F$27:$F$77,$A$27:$A$77,$A8,$B$27:$B$77,$B$3)</x:f>
        <x:v>0.79</x:v>
      </x:c>
      <x:c r="F8" s="35"/>
    </x:row>
    <x:row r="9">
      <x:c r="A9" s="35" t="str">
        <x:v>S&amp;M % Revenue</x:v>
      </x:c>
      <x:c r="B9" s="85" t="n">
        <x:f>SUMIFS($C$27:$C$77,$A$27:$A$77,$A9,$B$27:$B$77,$B$3)</x:f>
        <x:v>0.28</x:v>
      </x:c>
      <x:c r="C9" s="85" t="n">
        <x:f>SUMIFS($D$27:$D$77,$A$27:$A$77,$A9,$B$27:$B$77,$B$3)</x:f>
        <x:v>0.27</x:v>
      </x:c>
      <x:c r="D9" s="85" t="n">
        <x:f>SUMIFS($E$27:$E$77,$A$27:$A$77,$A9,$B$27:$B$77,$B$3)</x:f>
        <x:v>0.26</x:v>
      </x:c>
      <x:c r="E9" s="85" t="n">
        <x:f>SUMIFS($F$27:$F$77,$A$27:$A$77,$A9,$B$27:$B$77,$B$3)</x:f>
        <x:v>0.25</x:v>
      </x:c>
      <x:c r="F9" s="35"/>
    </x:row>
    <x:row r="10">
      <x:c r="A10" s="35" t="str">
        <x:v>R&amp;D % Revenue</x:v>
      </x:c>
      <x:c r="B10" s="85" t="n">
        <x:f>SUMIFS($C$27:$C$77,$A$27:$A$77,$A10,$B$27:$B$77,$B$3)</x:f>
        <x:v>0.17</x:v>
      </x:c>
      <x:c r="C10" s="85" t="n">
        <x:f>SUMIFS($D$27:$D$77,$A$27:$A$77,$A10,$B$27:$B$77,$B$3)</x:f>
        <x:v>0.165</x:v>
      </x:c>
      <x:c r="D10" s="85" t="n">
        <x:f>SUMIFS($E$27:$E$77,$A$27:$A$77,$A10,$B$27:$B$77,$B$3)</x:f>
        <x:v>0.16</x:v>
      </x:c>
      <x:c r="E10" s="85" t="n">
        <x:f>SUMIFS($F$27:$F$77,$A$27:$A$77,$A10,$B$27:$B$77,$B$3)</x:f>
        <x:v>0.155</x:v>
      </x:c>
      <x:c r="F10" s="35"/>
    </x:row>
    <x:row r="11">
      <x:c r="A11" s="35" t="str">
        <x:v>G&amp;A % Revenue</x:v>
      </x:c>
      <x:c r="B11" s="85" t="n">
        <x:f>SUMIFS($C$27:$C$77,$A$27:$A$77,$A11,$B$27:$B$77,$B$3)</x:f>
        <x:v>0.14</x:v>
      </x:c>
      <x:c r="C11" s="85" t="n">
        <x:f>SUMIFS($D$27:$D$77,$A$27:$A$77,$A11,$B$27:$B$77,$B$3)</x:f>
        <x:v>0.13</x:v>
      </x:c>
      <x:c r="D11" s="85" t="n">
        <x:f>SUMIFS($E$27:$E$77,$A$27:$A$77,$A11,$B$27:$B$77,$B$3)</x:f>
        <x:v>0.12</x:v>
      </x:c>
      <x:c r="E11" s="85" t="n">
        <x:f>SUMIFS($F$27:$F$77,$A$27:$A$77,$A11,$B$27:$B$77,$B$3)</x:f>
        <x:v>0.115</x:v>
      </x:c>
      <x:c r="F11" s="35"/>
    </x:row>
    <x:row r="12">
      <x:c r="A12" s="35" t="str">
        <x:v>DSO</x:v>
      </x:c>
      <x:c r="B12" s="86" t="n">
        <x:f>SUMIFS($C$27:$C$77,$A$27:$A$77,$A12,$B$27:$B$77,$B$3)</x:f>
        <x:v>43</x:v>
      </x:c>
      <x:c r="C12" s="86" t="n">
        <x:f>SUMIFS($D$27:$D$77,$A$27:$A$77,$A12,$B$27:$B$77,$B$3)</x:f>
        <x:v>41</x:v>
      </x:c>
      <x:c r="D12" s="86" t="n">
        <x:f>SUMIFS($E$27:$E$77,$A$27:$A$77,$A12,$B$27:$B$77,$B$3)</x:f>
        <x:v>40</x:v>
      </x:c>
      <x:c r="E12" s="86" t="n">
        <x:f>SUMIFS($F$27:$F$77,$A$27:$A$77,$A12,$B$27:$B$77,$B$3)</x:f>
        <x:v>39</x:v>
      </x:c>
      <x:c r="F12" s="35"/>
    </x:row>
    <x:row r="13">
      <x:c r="A13" s="35" t="str">
        <x:v>DPO</x:v>
      </x:c>
      <x:c r="B13" s="86" t="n">
        <x:f>SUMIFS($C$27:$C$77,$A$27:$A$77,$A13,$B$27:$B$77,$B$3)</x:f>
        <x:v>32</x:v>
      </x:c>
      <x:c r="C13" s="86" t="n">
        <x:f>SUMIFS($D$27:$D$77,$A$27:$A$77,$A13,$B$27:$B$77,$B$3)</x:f>
        <x:v>33</x:v>
      </x:c>
      <x:c r="D13" s="86" t="n">
        <x:f>SUMIFS($E$27:$E$77,$A$27:$A$77,$A13,$B$27:$B$77,$B$3)</x:f>
        <x:v>34</x:v>
      </x:c>
      <x:c r="E13" s="86" t="n">
        <x:f>SUMIFS($F$27:$F$77,$A$27:$A$77,$A13,$B$27:$B$77,$B$3)</x:f>
        <x:v>35</x:v>
      </x:c>
      <x:c r="F13" s="35"/>
    </x:row>
    <x:row r="14">
      <x:c r="A14" s="35" t="str">
        <x:v>Other Current Assets % Revenue</x:v>
      </x:c>
      <x:c r="B14" s="85" t="n">
        <x:f>SUMIFS($C$27:$C$77,$A$27:$A$77,$A14,$B$27:$B$77,$B$3)</x:f>
        <x:v>0.03</x:v>
      </x:c>
      <x:c r="C14" s="85" t="n">
        <x:f>SUMIFS($D$27:$D$77,$A$27:$A$77,$A14,$B$27:$B$77,$B$3)</x:f>
        <x:v>0.03</x:v>
      </x:c>
      <x:c r="D14" s="85" t="n">
        <x:f>SUMIFS($E$27:$E$77,$A$27:$A$77,$A14,$B$27:$B$77,$B$3)</x:f>
        <x:v>0.03</x:v>
      </x:c>
      <x:c r="E14" s="85" t="n">
        <x:f>SUMIFS($F$27:$F$77,$A$27:$A$77,$A14,$B$27:$B$77,$B$3)</x:f>
        <x:v>0.03</x:v>
      </x:c>
      <x:c r="F14" s="35"/>
    </x:row>
    <x:row r="15">
      <x:c r="A15" s="35" t="str">
        <x:v>Accrued Expenses % Opex</x:v>
      </x:c>
      <x:c r="B15" s="85" t="n">
        <x:f>SUMIFS($C$27:$C$77,$A$27:$A$77,$A15,$B$27:$B$77,$B$3)</x:f>
        <x:v>0.08</x:v>
      </x:c>
      <x:c r="C15" s="85" t="n">
        <x:f>SUMIFS($D$27:$D$77,$A$27:$A$77,$A15,$B$27:$B$77,$B$3)</x:f>
        <x:v>0.08</x:v>
      </x:c>
      <x:c r="D15" s="85" t="n">
        <x:f>SUMIFS($E$27:$E$77,$A$27:$A$77,$A15,$B$27:$B$77,$B$3)</x:f>
        <x:v>0.08</x:v>
      </x:c>
      <x:c r="E15" s="85" t="n">
        <x:f>SUMIFS($F$27:$F$77,$A$27:$A$77,$A15,$B$27:$B$77,$B$3)</x:f>
        <x:v>0.08</x:v>
      </x:c>
      <x:c r="F15" s="35"/>
    </x:row>
    <x:row r="16">
      <x:c r="A16" s="35" t="str">
        <x:v>Deferred Revenue % Revenue</x:v>
      </x:c>
      <x:c r="B16" s="85" t="n">
        <x:f>SUMIFS($C$27:$C$77,$A$27:$A$77,$A16,$B$27:$B$77,$B$3)</x:f>
        <x:v>0.1</x:v>
      </x:c>
      <x:c r="C16" s="85" t="n">
        <x:f>SUMIFS($D$27:$D$77,$A$27:$A$77,$A16,$B$27:$B$77,$B$3)</x:f>
        <x:v>0.105</x:v>
      </x:c>
      <x:c r="D16" s="85" t="n">
        <x:f>SUMIFS($E$27:$E$77,$A$27:$A$77,$A16,$B$27:$B$77,$B$3)</x:f>
        <x:v>0.11</x:v>
      </x:c>
      <x:c r="E16" s="85" t="n">
        <x:f>SUMIFS($F$27:$F$77,$A$27:$A$77,$A16,$B$27:$B$77,$B$3)</x:f>
        <x:v>0.115</x:v>
      </x:c>
      <x:c r="F16" s="35"/>
    </x:row>
    <x:row r="17">
      <x:c r="A17" s="35" t="str">
        <x:v>Capex % Revenue</x:v>
      </x:c>
      <x:c r="B17" s="85" t="n">
        <x:f>SUMIFS($C$27:$C$77,$A$27:$A$77,$A17,$B$27:$B$77,$B$3)</x:f>
        <x:v>0.04</x:v>
      </x:c>
      <x:c r="C17" s="85" t="n">
        <x:f>SUMIFS($D$27:$D$77,$A$27:$A$77,$A17,$B$27:$B$77,$B$3)</x:f>
        <x:v>0.04</x:v>
      </x:c>
      <x:c r="D17" s="85" t="n">
        <x:f>SUMIFS($E$27:$E$77,$A$27:$A$77,$A17,$B$27:$B$77,$B$3)</x:f>
        <x:v>0.035</x:v>
      </x:c>
      <x:c r="E17" s="85" t="n">
        <x:f>SUMIFS($F$27:$F$77,$A$27:$A$77,$A17,$B$27:$B$77,$B$3)</x:f>
        <x:v>0.035</x:v>
      </x:c>
      <x:c r="F17" s="35"/>
    </x:row>
    <x:row r="18">
      <x:c r="A18" s="35" t="str">
        <x:v>Debt Repayment % Beginning Debt</x:v>
      </x:c>
      <x:c r="B18" s="85" t="n">
        <x:f>SUMIFS($C$27:$C$77,$A$27:$A$77,$A18,$B$27:$B$77,$B$3)</x:f>
        <x:v>0.2</x:v>
      </x:c>
      <x:c r="C18" s="85" t="n">
        <x:f>SUMIFS($D$27:$D$77,$A$27:$A$77,$A18,$B$27:$B$77,$B$3)</x:f>
        <x:v>0.25</x:v>
      </x:c>
      <x:c r="D18" s="85" t="n">
        <x:f>SUMIFS($E$27:$E$77,$A$27:$A$77,$A18,$B$27:$B$77,$B$3)</x:f>
        <x:v>0.3</x:v>
      </x:c>
      <x:c r="E18" s="85" t="n">
        <x:f>SUMIFS($F$27:$F$77,$A$27:$A$77,$A18,$B$27:$B$77,$B$3)</x:f>
        <x:v>0.35</x:v>
      </x:c>
      <x:c r="F18" s="35"/>
    </x:row>
    <x:row r="19">
      <x:c r="A19" s="35" t="str">
        <x:v>Cash Interest Rate</x:v>
      </x:c>
      <x:c r="B19" s="85" t="n">
        <x:f>SUMIFS($C$27:$C$77,$A$27:$A$77,$A19,$B$27:$B$77,$B$3)</x:f>
        <x:v>0.08</x:v>
      </x:c>
      <x:c r="C19" s="85" t="n">
        <x:f>SUMIFS($D$27:$D$77,$A$27:$A$77,$A19,$B$27:$B$77,$B$3)</x:f>
        <x:v>0.08</x:v>
      </x:c>
      <x:c r="D19" s="85" t="n">
        <x:f>SUMIFS($E$27:$E$77,$A$27:$A$77,$A19,$B$27:$B$77,$B$3)</x:f>
        <x:v>0.08</x:v>
      </x:c>
      <x:c r="E19" s="85" t="n">
        <x:f>SUMIFS($F$27:$F$77,$A$27:$A$77,$A19,$B$27:$B$77,$B$3)</x:f>
        <x:v>0.08</x:v>
      </x:c>
      <x:c r="F19" s="35"/>
    </x:row>
    <x:row r="20">
      <x:c r="A20" s="35" t="str">
        <x:v>Tax Rate</x:v>
      </x:c>
      <x:c r="B20" s="85" t="n">
        <x:f>SUMIFS($C$27:$C$77,$A$27:$A$77,$A20,$B$27:$B$77,$B$3)</x:f>
        <x:v>0.25</x:v>
      </x:c>
      <x:c r="C20" s="85" t="n">
        <x:f>SUMIFS($D$27:$D$77,$A$27:$A$77,$A20,$B$27:$B$77,$B$3)</x:f>
        <x:v>0.25</x:v>
      </x:c>
      <x:c r="D20" s="85" t="n">
        <x:f>SUMIFS($E$27:$E$77,$A$27:$A$77,$A20,$B$27:$B$77,$B$3)</x:f>
        <x:v>0.25</x:v>
      </x:c>
      <x:c r="E20" s="85" t="n">
        <x:f>SUMIFS($F$27:$F$77,$A$27:$A$77,$A20,$B$27:$B$77,$B$3)</x:f>
        <x:v>0.25</x:v>
      </x:c>
      <x:c r="F20" s="35"/>
    </x:row>
    <x:row r="21">
      <x:c r="A21" s="35" t="str">
        <x:v>D&amp;A % Beginning PP&amp;E</x:v>
      </x:c>
      <x:c r="B21" s="85" t="n">
        <x:f>SUMIFS($C$27:$C$77,$A$27:$A$77,$A21,$B$27:$B$77,$B$3)</x:f>
        <x:v>0.2</x:v>
      </x:c>
      <x:c r="C21" s="85" t="n">
        <x:f>SUMIFS($D$27:$D$77,$A$27:$A$77,$A21,$B$27:$B$77,$B$3)</x:f>
        <x:v>0.2</x:v>
      </x:c>
      <x:c r="D21" s="85" t="n">
        <x:f>SUMIFS($E$27:$E$77,$A$27:$A$77,$A21,$B$27:$B$77,$B$3)</x:f>
        <x:v>0.2</x:v>
      </x:c>
      <x:c r="E21" s="85" t="n">
        <x:f>SUMIFS($F$27:$F$77,$A$27:$A$77,$A21,$B$27:$B$77,$B$3)</x:f>
        <x:v>0.2</x:v>
      </x:c>
      <x:c r="F21" s="35"/>
    </x:row>
    <x:row r="22">
      <x:c r="A22" s="35" t="str">
        <x:v>D&amp;A % Current Capex</x:v>
      </x:c>
      <x:c r="B22" s="85" t="n">
        <x:f>SUMIFS($C$27:$C$77,$A$27:$A$77,$A22,$B$27:$B$77,$B$3)</x:f>
        <x:v>0.1</x:v>
      </x:c>
      <x:c r="C22" s="85" t="n">
        <x:f>SUMIFS($D$27:$D$77,$A$27:$A$77,$A22,$B$27:$B$77,$B$3)</x:f>
        <x:v>0.1</x:v>
      </x:c>
      <x:c r="D22" s="85" t="n">
        <x:f>SUMIFS($E$27:$E$77,$A$27:$A$77,$A22,$B$27:$B$77,$B$3)</x:f>
        <x:v>0.1</x:v>
      </x:c>
      <x:c r="E22" s="85" t="n">
        <x:f>SUMIFS($F$27:$F$77,$A$27:$A$77,$A22,$B$27:$B$77,$B$3)</x:f>
        <x:v>0.1</x:v>
      </x:c>
      <x:c r="F22" s="35"/>
    </x:row>
    <x:row r="23">
      <x:c r="A23" s="35" t="str">
        <x:v>Dividends % Net Income</x:v>
      </x:c>
      <x:c r="B23" s="85" t="n">
        <x:f>SUMIFS($C$27:$C$77,$A$27:$A$77,$A23,$B$27:$B$77,$B$3)</x:f>
        <x:v>0</x:v>
      </x:c>
      <x:c r="C23" s="85" t="n">
        <x:f>SUMIFS($D$27:$D$77,$A$27:$A$77,$A23,$B$27:$B$77,$B$3)</x:f>
        <x:v>0</x:v>
      </x:c>
      <x:c r="D23" s="85" t="n">
        <x:f>SUMIFS($E$27:$E$77,$A$27:$A$77,$A23,$B$27:$B$77,$B$3)</x:f>
        <x:v>0</x:v>
      </x:c>
      <x:c r="E23" s="85" t="n">
        <x:f>SUMIFS($F$27:$F$77,$A$27:$A$77,$A23,$B$27:$B$77,$B$3)</x:f>
        <x:v>0</x:v>
      </x:c>
      <x:c r="F23" s="35"/>
    </x:row>
    <x:row r="24">
      <x:c r="A24" s="35"/>
      <x:c r="B24" s="35"/>
      <x:c r="C24" s="35"/>
      <x:c r="D24" s="35"/>
      <x:c r="E24" s="35"/>
      <x:c r="F24" s="35"/>
    </x:row>
    <x:row r="25">
      <x:c r="A25" s="38" t="str">
        <x:v>Scenario Assumption Table | Blue font = hardcoded</x:v>
      </x:c>
      <x:c r="B25" s="35"/>
      <x:c r="C25" s="35"/>
      <x:c r="D25" s="35"/>
      <x:c r="E25" s="35"/>
      <x:c r="F25" s="35"/>
    </x:row>
    <x:row r="26">
      <x:c r="A26" s="59" t="str">
        <x:v>Driver</x:v>
      </x:c>
      <x:c r="B26" s="59" t="str">
        <x:v>Scenario</x:v>
      </x:c>
      <x:c r="C26" s="59" t="str">
        <x:v>2027E</x:v>
      </x:c>
      <x:c r="D26" s="59" t="str">
        <x:v>2028E</x:v>
      </x:c>
      <x:c r="E26" s="59" t="str">
        <x:v>2029E</x:v>
      </x:c>
      <x:c r="F26" s="59" t="str">
        <x:v>2030E</x:v>
      </x:c>
      <x:c r="G26" s="24" t="str">
        <x:v>Source / Note</x:v>
      </x:c>
    </x:row>
    <x:row r="27">
      <x:c r="A27" s="35" t="str">
        <x:v>Revenue Growth</x:v>
      </x:c>
      <x:c r="B27" s="35" t="str">
        <x:v>Base</x:v>
      </x:c>
      <x:c r="C27" s="87" t="n">
        <x:v>0.25</x:v>
      </x:c>
      <x:c r="D27" s="87" t="n">
        <x:v>0.22</x:v>
      </x:c>
      <x:c r="E27" s="87" t="n">
        <x:v>0.2</x:v>
      </x:c>
      <x:c r="F27" s="87" t="n">
        <x:v>0.18</x:v>
      </x:c>
      <x:c r="G27" s="54" t="str">
        <x:v>Synthetic portfolio assumption</x:v>
      </x:c>
    </x:row>
    <x:row r="28">
      <x:c r="A28" s="35" t="str">
        <x:v>Revenue Growth</x:v>
      </x:c>
      <x:c r="B28" s="35" t="str">
        <x:v>Upside</x:v>
      </x:c>
      <x:c r="C28" s="87" t="n">
        <x:v>0.32</x:v>
      </x:c>
      <x:c r="D28" s="87" t="n">
        <x:v>0.28</x:v>
      </x:c>
      <x:c r="E28" s="87" t="n">
        <x:v>0.24</x:v>
      </x:c>
      <x:c r="F28" s="87" t="n">
        <x:v>0.2</x:v>
      </x:c>
      <x:c r="G28" s="54" t="str">
        <x:v>Synthetic portfolio assumption</x:v>
      </x:c>
    </x:row>
    <x:row r="29">
      <x:c r="A29" s="35" t="str">
        <x:v>Revenue Growth</x:v>
      </x:c>
      <x:c r="B29" s="35" t="str">
        <x:v>Downside</x:v>
      </x:c>
      <x:c r="C29" s="87" t="n">
        <x:v>0.12</x:v>
      </x:c>
      <x:c r="D29" s="87" t="n">
        <x:v>0.1</x:v>
      </x:c>
      <x:c r="E29" s="87" t="n">
        <x:v>0.1</x:v>
      </x:c>
      <x:c r="F29" s="87" t="n">
        <x:v>0.08</x:v>
      </x:c>
      <x:c r="G29" s="54" t="str">
        <x:v>Synthetic portfolio assumption</x:v>
      </x:c>
    </x:row>
    <x:row r="30">
      <x:c r="A30" s="35" t="str">
        <x:v>Gross Margin</x:v>
      </x:c>
      <x:c r="B30" s="35" t="str">
        <x:v>Base</x:v>
      </x:c>
      <x:c r="C30" s="87" t="n">
        <x:v>0.76</x:v>
      </x:c>
      <x:c r="D30" s="87" t="n">
        <x:v>0.77</x:v>
      </x:c>
      <x:c r="E30" s="87" t="n">
        <x:v>0.78</x:v>
      </x:c>
      <x:c r="F30" s="87" t="n">
        <x:v>0.79</x:v>
      </x:c>
      <x:c r="G30" s="54" t="str">
        <x:v>Synthetic portfolio assumption</x:v>
      </x:c>
    </x:row>
    <x:row r="31">
      <x:c r="A31" s="35" t="str">
        <x:v>Gross Margin</x:v>
      </x:c>
      <x:c r="B31" s="35" t="str">
        <x:v>Upside</x:v>
      </x:c>
      <x:c r="C31" s="87" t="n">
        <x:v>0.77</x:v>
      </x:c>
      <x:c r="D31" s="87" t="n">
        <x:v>0.785</x:v>
      </x:c>
      <x:c r="E31" s="87" t="n">
        <x:v>0.795</x:v>
      </x:c>
      <x:c r="F31" s="87" t="n">
        <x:v>0.8</x:v>
      </x:c>
      <x:c r="G31" s="54" t="str">
        <x:v>Synthetic portfolio assumption</x:v>
      </x:c>
    </x:row>
    <x:row r="32">
      <x:c r="A32" s="35" t="str">
        <x:v>Gross Margin</x:v>
      </x:c>
      <x:c r="B32" s="35" t="str">
        <x:v>Downside</x:v>
      </x:c>
      <x:c r="C32" s="87" t="n">
        <x:v>0.73</x:v>
      </x:c>
      <x:c r="D32" s="87" t="n">
        <x:v>0.735</x:v>
      </x:c>
      <x:c r="E32" s="87" t="n">
        <x:v>0.74</x:v>
      </x:c>
      <x:c r="F32" s="87" t="n">
        <x:v>0.745</x:v>
      </x:c>
      <x:c r="G32" s="54" t="str">
        <x:v>Synthetic portfolio assumption</x:v>
      </x:c>
    </x:row>
    <x:row r="33">
      <x:c r="A33" s="35" t="str">
        <x:v>S&amp;M % Revenue</x:v>
      </x:c>
      <x:c r="B33" s="35" t="str">
        <x:v>Base</x:v>
      </x:c>
      <x:c r="C33" s="87" t="n">
        <x:v>0.28</x:v>
      </x:c>
      <x:c r="D33" s="87" t="n">
        <x:v>0.27</x:v>
      </x:c>
      <x:c r="E33" s="87" t="n">
        <x:v>0.26</x:v>
      </x:c>
      <x:c r="F33" s="87" t="n">
        <x:v>0.25</x:v>
      </x:c>
      <x:c r="G33" s="54" t="str">
        <x:v>Synthetic portfolio assumption</x:v>
      </x:c>
    </x:row>
    <x:row r="34">
      <x:c r="A34" s="35" t="str">
        <x:v>S&amp;M % Revenue</x:v>
      </x:c>
      <x:c r="B34" s="35" t="str">
        <x:v>Upside</x:v>
      </x:c>
      <x:c r="C34" s="87" t="n">
        <x:v>0.27</x:v>
      </x:c>
      <x:c r="D34" s="87" t="n">
        <x:v>0.255</x:v>
      </x:c>
      <x:c r="E34" s="87" t="n">
        <x:v>0.245</x:v>
      </x:c>
      <x:c r="F34" s="87" t="n">
        <x:v>0.235</x:v>
      </x:c>
      <x:c r="G34" s="54" t="str">
        <x:v>Synthetic portfolio assumption</x:v>
      </x:c>
    </x:row>
    <x:row r="35">
      <x:c r="A35" s="35" t="str">
        <x:v>S&amp;M % Revenue</x:v>
      </x:c>
      <x:c r="B35" s="35" t="str">
        <x:v>Downside</x:v>
      </x:c>
      <x:c r="C35" s="87" t="n">
        <x:v>0.31</x:v>
      </x:c>
      <x:c r="D35" s="87" t="n">
        <x:v>0.31</x:v>
      </x:c>
      <x:c r="E35" s="87" t="n">
        <x:v>0.3</x:v>
      </x:c>
      <x:c r="F35" s="87" t="n">
        <x:v>0.3</x:v>
      </x:c>
      <x:c r="G35" s="54" t="str">
        <x:v>Synthetic portfolio assumption</x:v>
      </x:c>
    </x:row>
    <x:row r="36">
      <x:c r="A36" s="35" t="str">
        <x:v>R&amp;D % Revenue</x:v>
      </x:c>
      <x:c r="B36" s="35" t="str">
        <x:v>Base</x:v>
      </x:c>
      <x:c r="C36" s="87" t="n">
        <x:v>0.17</x:v>
      </x:c>
      <x:c r="D36" s="87" t="n">
        <x:v>0.165</x:v>
      </x:c>
      <x:c r="E36" s="87" t="n">
        <x:v>0.16</x:v>
      </x:c>
      <x:c r="F36" s="87" t="n">
        <x:v>0.155</x:v>
      </x:c>
      <x:c r="G36" s="54" t="str">
        <x:v>Synthetic portfolio assumption</x:v>
      </x:c>
    </x:row>
    <x:row r="37">
      <x:c r="A37" s="35" t="str">
        <x:v>R&amp;D % Revenue</x:v>
      </x:c>
      <x:c r="B37" s="35" t="str">
        <x:v>Upside</x:v>
      </x:c>
      <x:c r="C37" s="87" t="n">
        <x:v>0.17</x:v>
      </x:c>
      <x:c r="D37" s="87" t="n">
        <x:v>0.16</x:v>
      </x:c>
      <x:c r="E37" s="87" t="n">
        <x:v>0.155</x:v>
      </x:c>
      <x:c r="F37" s="87" t="n">
        <x:v>0.15</x:v>
      </x:c>
      <x:c r="G37" s="54" t="str">
        <x:v>Synthetic portfolio assumption</x:v>
      </x:c>
    </x:row>
    <x:row r="38">
      <x:c r="A38" s="35" t="str">
        <x:v>R&amp;D % Revenue</x:v>
      </x:c>
      <x:c r="B38" s="35" t="str">
        <x:v>Downside</x:v>
      </x:c>
      <x:c r="C38" s="87" t="n">
        <x:v>0.18</x:v>
      </x:c>
      <x:c r="D38" s="87" t="n">
        <x:v>0.18</x:v>
      </x:c>
      <x:c r="E38" s="87" t="n">
        <x:v>0.175</x:v>
      </x:c>
      <x:c r="F38" s="87" t="n">
        <x:v>0.17</x:v>
      </x:c>
      <x:c r="G38" s="54" t="str">
        <x:v>Synthetic portfolio assumption</x:v>
      </x:c>
    </x:row>
    <x:row r="39">
      <x:c r="A39" s="35" t="str">
        <x:v>G&amp;A % Revenue</x:v>
      </x:c>
      <x:c r="B39" s="35" t="str">
        <x:v>Base</x:v>
      </x:c>
      <x:c r="C39" s="87" t="n">
        <x:v>0.14</x:v>
      </x:c>
      <x:c r="D39" s="87" t="n">
        <x:v>0.13</x:v>
      </x:c>
      <x:c r="E39" s="87" t="n">
        <x:v>0.12</x:v>
      </x:c>
      <x:c r="F39" s="87" t="n">
        <x:v>0.115</x:v>
      </x:c>
      <x:c r="G39" s="54" t="str">
        <x:v>Synthetic portfolio assumption</x:v>
      </x:c>
    </x:row>
    <x:row r="40">
      <x:c r="A40" s="35" t="str">
        <x:v>G&amp;A % Revenue</x:v>
      </x:c>
      <x:c r="B40" s="35" t="str">
        <x:v>Upside</x:v>
      </x:c>
      <x:c r="C40" s="87" t="n">
        <x:v>0.135</x:v>
      </x:c>
      <x:c r="D40" s="87" t="n">
        <x:v>0.125</x:v>
      </x:c>
      <x:c r="E40" s="87" t="n">
        <x:v>0.115</x:v>
      </x:c>
      <x:c r="F40" s="87" t="n">
        <x:v>0.11</x:v>
      </x:c>
      <x:c r="G40" s="54" t="str">
        <x:v>Synthetic portfolio assumption</x:v>
      </x:c>
    </x:row>
    <x:row r="41">
      <x:c r="A41" s="35" t="str">
        <x:v>G&amp;A % Revenue</x:v>
      </x:c>
      <x:c r="B41" s="35" t="str">
        <x:v>Downside</x:v>
      </x:c>
      <x:c r="C41" s="87" t="n">
        <x:v>0.155</x:v>
      </x:c>
      <x:c r="D41" s="87" t="n">
        <x:v>0.15</x:v>
      </x:c>
      <x:c r="E41" s="87" t="n">
        <x:v>0.145</x:v>
      </x:c>
      <x:c r="F41" s="87" t="n">
        <x:v>0.14</x:v>
      </x:c>
      <x:c r="G41" s="54" t="str">
        <x:v>Synthetic portfolio assumption</x:v>
      </x:c>
    </x:row>
    <x:row r="42">
      <x:c r="A42" s="35" t="str">
        <x:v>DSO</x:v>
      </x:c>
      <x:c r="B42" s="35" t="str">
        <x:v>Base</x:v>
      </x:c>
      <x:c r="C42" s="88" t="n">
        <x:v>43</x:v>
      </x:c>
      <x:c r="D42" s="88" t="n">
        <x:v>41</x:v>
      </x:c>
      <x:c r="E42" s="88" t="n">
        <x:v>40</x:v>
      </x:c>
      <x:c r="F42" s="88" t="n">
        <x:v>39</x:v>
      </x:c>
      <x:c r="G42" s="54" t="str">
        <x:v>Synthetic portfolio assumption</x:v>
      </x:c>
    </x:row>
    <x:row r="43">
      <x:c r="A43" s="35" t="str">
        <x:v>DSO</x:v>
      </x:c>
      <x:c r="B43" s="35" t="str">
        <x:v>Upside</x:v>
      </x:c>
      <x:c r="C43" s="88" t="n">
        <x:v>40</x:v>
      </x:c>
      <x:c r="D43" s="88" t="n">
        <x:v>38</x:v>
      </x:c>
      <x:c r="E43" s="88" t="n">
        <x:v>37</x:v>
      </x:c>
      <x:c r="F43" s="88" t="n">
        <x:v>36</x:v>
      </x:c>
      <x:c r="G43" s="54" t="str">
        <x:v>Synthetic portfolio assumption</x:v>
      </x:c>
    </x:row>
    <x:row r="44">
      <x:c r="A44" s="35" t="str">
        <x:v>DSO</x:v>
      </x:c>
      <x:c r="B44" s="35" t="str">
        <x:v>Downside</x:v>
      </x:c>
      <x:c r="C44" s="88" t="n">
        <x:v>50</x:v>
      </x:c>
      <x:c r="D44" s="88" t="n">
        <x:v>52</x:v>
      </x:c>
      <x:c r="E44" s="88" t="n">
        <x:v>52</x:v>
      </x:c>
      <x:c r="F44" s="88" t="n">
        <x:v>50</x:v>
      </x:c>
      <x:c r="G44" s="54" t="str">
        <x:v>Synthetic portfolio assumption</x:v>
      </x:c>
    </x:row>
    <x:row r="45">
      <x:c r="A45" s="35" t="str">
        <x:v>DPO</x:v>
      </x:c>
      <x:c r="B45" s="35" t="str">
        <x:v>Base</x:v>
      </x:c>
      <x:c r="C45" s="88" t="n">
        <x:v>32</x:v>
      </x:c>
      <x:c r="D45" s="88" t="n">
        <x:v>33</x:v>
      </x:c>
      <x:c r="E45" s="88" t="n">
        <x:v>34</x:v>
      </x:c>
      <x:c r="F45" s="88" t="n">
        <x:v>35</x:v>
      </x:c>
      <x:c r="G45" s="54" t="str">
        <x:v>Synthetic portfolio assumption</x:v>
      </x:c>
    </x:row>
    <x:row r="46">
      <x:c r="A46" s="35" t="str">
        <x:v>DPO</x:v>
      </x:c>
      <x:c r="B46" s="35" t="str">
        <x:v>Upside</x:v>
      </x:c>
      <x:c r="C46" s="88" t="n">
        <x:v>34</x:v>
      </x:c>
      <x:c r="D46" s="88" t="n">
        <x:v>35</x:v>
      </x:c>
      <x:c r="E46" s="88" t="n">
        <x:v>36</x:v>
      </x:c>
      <x:c r="F46" s="88" t="n">
        <x:v>37</x:v>
      </x:c>
      <x:c r="G46" s="54" t="str">
        <x:v>Synthetic portfolio assumption</x:v>
      </x:c>
    </x:row>
    <x:row r="47">
      <x:c r="A47" s="35" t="str">
        <x:v>DPO</x:v>
      </x:c>
      <x:c r="B47" s="35" t="str">
        <x:v>Downside</x:v>
      </x:c>
      <x:c r="C47" s="88" t="n">
        <x:v>28</x:v>
      </x:c>
      <x:c r="D47" s="88" t="n">
        <x:v>28</x:v>
      </x:c>
      <x:c r="E47" s="88" t="n">
        <x:v>29</x:v>
      </x:c>
      <x:c r="F47" s="88" t="n">
        <x:v>30</x:v>
      </x:c>
      <x:c r="G47" s="54" t="str">
        <x:v>Synthetic portfolio assumption</x:v>
      </x:c>
    </x:row>
    <x:row r="48">
      <x:c r="A48" s="35" t="str">
        <x:v>Other Current Assets % Revenue</x:v>
      </x:c>
      <x:c r="B48" s="35" t="str">
        <x:v>Base</x:v>
      </x:c>
      <x:c r="C48" s="87" t="n">
        <x:v>0.03</x:v>
      </x:c>
      <x:c r="D48" s="87" t="n">
        <x:v>0.03</x:v>
      </x:c>
      <x:c r="E48" s="87" t="n">
        <x:v>0.03</x:v>
      </x:c>
      <x:c r="F48" s="87" t="n">
        <x:v>0.03</x:v>
      </x:c>
      <x:c r="G48" s="54" t="str">
        <x:v>Synthetic portfolio assumption</x:v>
      </x:c>
    </x:row>
    <x:row r="49">
      <x:c r="A49" s="35" t="str">
        <x:v>Other Current Assets % Revenue</x:v>
      </x:c>
      <x:c r="B49" s="35" t="str">
        <x:v>Upside</x:v>
      </x:c>
      <x:c r="C49" s="87" t="n">
        <x:v>0.028</x:v>
      </x:c>
      <x:c r="D49" s="87" t="n">
        <x:v>0.028</x:v>
      </x:c>
      <x:c r="E49" s="87" t="n">
        <x:v>0.028</x:v>
      </x:c>
      <x:c r="F49" s="87" t="n">
        <x:v>0.028</x:v>
      </x:c>
      <x:c r="G49" s="54" t="str">
        <x:v>Synthetic portfolio assumption</x:v>
      </x:c>
    </x:row>
    <x:row r="50">
      <x:c r="A50" s="35" t="str">
        <x:v>Other Current Assets % Revenue</x:v>
      </x:c>
      <x:c r="B50" s="35" t="str">
        <x:v>Downside</x:v>
      </x:c>
      <x:c r="C50" s="87" t="n">
        <x:v>0.035</x:v>
      </x:c>
      <x:c r="D50" s="87" t="n">
        <x:v>0.035</x:v>
      </x:c>
      <x:c r="E50" s="87" t="n">
        <x:v>0.035</x:v>
      </x:c>
      <x:c r="F50" s="87" t="n">
        <x:v>0.035</x:v>
      </x:c>
      <x:c r="G50" s="54" t="str">
        <x:v>Synthetic portfolio assumption</x:v>
      </x:c>
    </x:row>
    <x:row r="51">
      <x:c r="A51" s="35" t="str">
        <x:v>Accrued Expenses % Opex</x:v>
      </x:c>
      <x:c r="B51" s="35" t="str">
        <x:v>Base</x:v>
      </x:c>
      <x:c r="C51" s="87" t="n">
        <x:v>0.08</x:v>
      </x:c>
      <x:c r="D51" s="87" t="n">
        <x:v>0.08</x:v>
      </x:c>
      <x:c r="E51" s="87" t="n">
        <x:v>0.08</x:v>
      </x:c>
      <x:c r="F51" s="87" t="n">
        <x:v>0.08</x:v>
      </x:c>
      <x:c r="G51" s="54" t="str">
        <x:v>Synthetic portfolio assumption</x:v>
      </x:c>
    </x:row>
    <x:row r="52">
      <x:c r="A52" s="35" t="str">
        <x:v>Accrued Expenses % Opex</x:v>
      </x:c>
      <x:c r="B52" s="35" t="str">
        <x:v>Upside</x:v>
      </x:c>
      <x:c r="C52" s="87" t="n">
        <x:v>0.075</x:v>
      </x:c>
      <x:c r="D52" s="87" t="n">
        <x:v>0.075</x:v>
      </x:c>
      <x:c r="E52" s="87" t="n">
        <x:v>0.075</x:v>
      </x:c>
      <x:c r="F52" s="87" t="n">
        <x:v>0.075</x:v>
      </x:c>
      <x:c r="G52" s="54" t="str">
        <x:v>Synthetic portfolio assumption</x:v>
      </x:c>
    </x:row>
    <x:row r="53">
      <x:c r="A53" s="35" t="str">
        <x:v>Accrued Expenses % Opex</x:v>
      </x:c>
      <x:c r="B53" s="35" t="str">
        <x:v>Downside</x:v>
      </x:c>
      <x:c r="C53" s="87" t="n">
        <x:v>0.09</x:v>
      </x:c>
      <x:c r="D53" s="87" t="n">
        <x:v>0.09</x:v>
      </x:c>
      <x:c r="E53" s="87" t="n">
        <x:v>0.09</x:v>
      </x:c>
      <x:c r="F53" s="87" t="n">
        <x:v>0.09</x:v>
      </x:c>
      <x:c r="G53" s="54" t="str">
        <x:v>Synthetic portfolio assumption</x:v>
      </x:c>
    </x:row>
    <x:row r="54">
      <x:c r="A54" s="35" t="str">
        <x:v>Deferred Revenue % Revenue</x:v>
      </x:c>
      <x:c r="B54" s="35" t="str">
        <x:v>Base</x:v>
      </x:c>
      <x:c r="C54" s="87" t="n">
        <x:v>0.1</x:v>
      </x:c>
      <x:c r="D54" s="87" t="n">
        <x:v>0.105</x:v>
      </x:c>
      <x:c r="E54" s="87" t="n">
        <x:v>0.11</x:v>
      </x:c>
      <x:c r="F54" s="87" t="n">
        <x:v>0.115</x:v>
      </x:c>
      <x:c r="G54" s="54" t="str">
        <x:v>Synthetic portfolio assumption</x:v>
      </x:c>
    </x:row>
    <x:row r="55">
      <x:c r="A55" s="35" t="str">
        <x:v>Deferred Revenue % Revenue</x:v>
      </x:c>
      <x:c r="B55" s="35" t="str">
        <x:v>Upside</x:v>
      </x:c>
      <x:c r="C55" s="87" t="n">
        <x:v>0.11</x:v>
      </x:c>
      <x:c r="D55" s="87" t="n">
        <x:v>0.115</x:v>
      </x:c>
      <x:c r="E55" s="87" t="n">
        <x:v>0.12</x:v>
      </x:c>
      <x:c r="F55" s="87" t="n">
        <x:v>0.125</x:v>
      </x:c>
      <x:c r="G55" s="54" t="str">
        <x:v>Synthetic portfolio assumption</x:v>
      </x:c>
    </x:row>
    <x:row r="56">
      <x:c r="A56" s="35" t="str">
        <x:v>Deferred Revenue % Revenue</x:v>
      </x:c>
      <x:c r="B56" s="35" t="str">
        <x:v>Downside</x:v>
      </x:c>
      <x:c r="C56" s="87" t="n">
        <x:v>0.09</x:v>
      </x:c>
      <x:c r="D56" s="87" t="n">
        <x:v>0.09</x:v>
      </x:c>
      <x:c r="E56" s="87" t="n">
        <x:v>0.095</x:v>
      </x:c>
      <x:c r="F56" s="87" t="n">
        <x:v>0.1</x:v>
      </x:c>
      <x:c r="G56" s="54" t="str">
        <x:v>Synthetic portfolio assumption</x:v>
      </x:c>
    </x:row>
    <x:row r="57">
      <x:c r="A57" s="35" t="str">
        <x:v>Capex % Revenue</x:v>
      </x:c>
      <x:c r="B57" s="35" t="str">
        <x:v>Base</x:v>
      </x:c>
      <x:c r="C57" s="87" t="n">
        <x:v>0.04</x:v>
      </x:c>
      <x:c r="D57" s="87" t="n">
        <x:v>0.04</x:v>
      </x:c>
      <x:c r="E57" s="87" t="n">
        <x:v>0.035</x:v>
      </x:c>
      <x:c r="F57" s="87" t="n">
        <x:v>0.035</x:v>
      </x:c>
      <x:c r="G57" s="54" t="str">
        <x:v>Synthetic portfolio assumption</x:v>
      </x:c>
    </x:row>
    <x:row r="58">
      <x:c r="A58" s="35" t="str">
        <x:v>Capex % Revenue</x:v>
      </x:c>
      <x:c r="B58" s="35" t="str">
        <x:v>Upside</x:v>
      </x:c>
      <x:c r="C58" s="87" t="n">
        <x:v>0.04</x:v>
      </x:c>
      <x:c r="D58" s="87" t="n">
        <x:v>0.04</x:v>
      </x:c>
      <x:c r="E58" s="87" t="n">
        <x:v>0.035</x:v>
      </x:c>
      <x:c r="F58" s="87" t="n">
        <x:v>0.03</x:v>
      </x:c>
      <x:c r="G58" s="54" t="str">
        <x:v>Synthetic portfolio assumption</x:v>
      </x:c>
    </x:row>
    <x:row r="59">
      <x:c r="A59" s="35" t="str">
        <x:v>Capex % Revenue</x:v>
      </x:c>
      <x:c r="B59" s="35" t="str">
        <x:v>Downside</x:v>
      </x:c>
      <x:c r="C59" s="87" t="n">
        <x:v>0.045</x:v>
      </x:c>
      <x:c r="D59" s="87" t="n">
        <x:v>0.045</x:v>
      </x:c>
      <x:c r="E59" s="87" t="n">
        <x:v>0.04</x:v>
      </x:c>
      <x:c r="F59" s="87" t="n">
        <x:v>0.04</x:v>
      </x:c>
      <x:c r="G59" s="54" t="str">
        <x:v>Synthetic portfolio assumption</x:v>
      </x:c>
    </x:row>
    <x:row r="60">
      <x:c r="A60" s="35" t="str">
        <x:v>Debt Repayment % Beginning Debt</x:v>
      </x:c>
      <x:c r="B60" s="35" t="str">
        <x:v>Base</x:v>
      </x:c>
      <x:c r="C60" s="87" t="n">
        <x:v>0.2</x:v>
      </x:c>
      <x:c r="D60" s="87" t="n">
        <x:v>0.25</x:v>
      </x:c>
      <x:c r="E60" s="87" t="n">
        <x:v>0.3</x:v>
      </x:c>
      <x:c r="F60" s="87" t="n">
        <x:v>0.35</x:v>
      </x:c>
      <x:c r="G60" s="54" t="str">
        <x:v>Synthetic portfolio assumption</x:v>
      </x:c>
    </x:row>
    <x:row r="61">
      <x:c r="A61" s="35" t="str">
        <x:v>Debt Repayment % Beginning Debt</x:v>
      </x:c>
      <x:c r="B61" s="35" t="str">
        <x:v>Upside</x:v>
      </x:c>
      <x:c r="C61" s="87" t="n">
        <x:v>0.25</x:v>
      </x:c>
      <x:c r="D61" s="87" t="n">
        <x:v>0.3</x:v>
      </x:c>
      <x:c r="E61" s="87" t="n">
        <x:v>0.35</x:v>
      </x:c>
      <x:c r="F61" s="87" t="n">
        <x:v>0.4</x:v>
      </x:c>
      <x:c r="G61" s="54" t="str">
        <x:v>Synthetic portfolio assumption</x:v>
      </x:c>
    </x:row>
    <x:row r="62">
      <x:c r="A62" s="35" t="str">
        <x:v>Debt Repayment % Beginning Debt</x:v>
      </x:c>
      <x:c r="B62" s="35" t="str">
        <x:v>Downside</x:v>
      </x:c>
      <x:c r="C62" s="87" t="n">
        <x:v>0.1</x:v>
      </x:c>
      <x:c r="D62" s="87" t="n">
        <x:v>0.1</x:v>
      </x:c>
      <x:c r="E62" s="87" t="n">
        <x:v>0.15</x:v>
      </x:c>
      <x:c r="F62" s="87" t="n">
        <x:v>0.2</x:v>
      </x:c>
      <x:c r="G62" s="54" t="str">
        <x:v>Synthetic portfolio assumption</x:v>
      </x:c>
    </x:row>
    <x:row r="63">
      <x:c r="A63" s="35" t="str">
        <x:v>Cash Interest Rate</x:v>
      </x:c>
      <x:c r="B63" s="35" t="str">
        <x:v>Base</x:v>
      </x:c>
      <x:c r="C63" s="87" t="n">
        <x:v>0.08</x:v>
      </x:c>
      <x:c r="D63" s="87" t="n">
        <x:v>0.08</x:v>
      </x:c>
      <x:c r="E63" s="87" t="n">
        <x:v>0.08</x:v>
      </x:c>
      <x:c r="F63" s="87" t="n">
        <x:v>0.08</x:v>
      </x:c>
      <x:c r="G63" s="54" t="str">
        <x:v>Synthetic portfolio assumption</x:v>
      </x:c>
    </x:row>
    <x:row r="64">
      <x:c r="A64" s="35" t="str">
        <x:v>Cash Interest Rate</x:v>
      </x:c>
      <x:c r="B64" s="35" t="str">
        <x:v>Upside</x:v>
      </x:c>
      <x:c r="C64" s="87" t="n">
        <x:v>0.075</x:v>
      </x:c>
      <x:c r="D64" s="87" t="n">
        <x:v>0.075</x:v>
      </x:c>
      <x:c r="E64" s="87" t="n">
        <x:v>0.075</x:v>
      </x:c>
      <x:c r="F64" s="87" t="n">
        <x:v>0.075</x:v>
      </x:c>
      <x:c r="G64" s="54" t="str">
        <x:v>Synthetic portfolio assumption</x:v>
      </x:c>
    </x:row>
    <x:row r="65">
      <x:c r="A65" s="35" t="str">
        <x:v>Cash Interest Rate</x:v>
      </x:c>
      <x:c r="B65" s="35" t="str">
        <x:v>Downside</x:v>
      </x:c>
      <x:c r="C65" s="87" t="n">
        <x:v>0.09</x:v>
      </x:c>
      <x:c r="D65" s="87" t="n">
        <x:v>0.09</x:v>
      </x:c>
      <x:c r="E65" s="87" t="n">
        <x:v>0.09</x:v>
      </x:c>
      <x:c r="F65" s="87" t="n">
        <x:v>0.09</x:v>
      </x:c>
      <x:c r="G65" s="54" t="str">
        <x:v>Synthetic portfolio assumption</x:v>
      </x:c>
    </x:row>
    <x:row r="66">
      <x:c r="A66" s="35" t="str">
        <x:v>Tax Rate</x:v>
      </x:c>
      <x:c r="B66" s="35" t="str">
        <x:v>Base</x:v>
      </x:c>
      <x:c r="C66" s="87" t="n">
        <x:v>0.25</x:v>
      </x:c>
      <x:c r="D66" s="87" t="n">
        <x:v>0.25</x:v>
      </x:c>
      <x:c r="E66" s="87" t="n">
        <x:v>0.25</x:v>
      </x:c>
      <x:c r="F66" s="87" t="n">
        <x:v>0.25</x:v>
      </x:c>
      <x:c r="G66" s="54" t="str">
        <x:v>Synthetic portfolio assumption</x:v>
      </x:c>
    </x:row>
    <x:row r="67">
      <x:c r="A67" s="35" t="str">
        <x:v>Tax Rate</x:v>
      </x:c>
      <x:c r="B67" s="35" t="str">
        <x:v>Upside</x:v>
      </x:c>
      <x:c r="C67" s="87" t="n">
        <x:v>0.25</x:v>
      </x:c>
      <x:c r="D67" s="87" t="n">
        <x:v>0.25</x:v>
      </x:c>
      <x:c r="E67" s="87" t="n">
        <x:v>0.25</x:v>
      </x:c>
      <x:c r="F67" s="87" t="n">
        <x:v>0.25</x:v>
      </x:c>
      <x:c r="G67" s="54" t="str">
        <x:v>Synthetic portfolio assumption</x:v>
      </x:c>
    </x:row>
    <x:row r="68">
      <x:c r="A68" s="35" t="str">
        <x:v>Tax Rate</x:v>
      </x:c>
      <x:c r="B68" s="35" t="str">
        <x:v>Downside</x:v>
      </x:c>
      <x:c r="C68" s="87" t="n">
        <x:v>0.25</x:v>
      </x:c>
      <x:c r="D68" s="87" t="n">
        <x:v>0.25</x:v>
      </x:c>
      <x:c r="E68" s="87" t="n">
        <x:v>0.25</x:v>
      </x:c>
      <x:c r="F68" s="87" t="n">
        <x:v>0.25</x:v>
      </x:c>
      <x:c r="G68" s="54" t="str">
        <x:v>Synthetic portfolio assumption</x:v>
      </x:c>
    </x:row>
    <x:row r="69">
      <x:c r="A69" s="35" t="str">
        <x:v>D&amp;A % Beginning PP&amp;E</x:v>
      </x:c>
      <x:c r="B69" s="35" t="str">
        <x:v>Base</x:v>
      </x:c>
      <x:c r="C69" s="87" t="n">
        <x:v>0.2</x:v>
      </x:c>
      <x:c r="D69" s="87" t="n">
        <x:v>0.2</x:v>
      </x:c>
      <x:c r="E69" s="87" t="n">
        <x:v>0.2</x:v>
      </x:c>
      <x:c r="F69" s="87" t="n">
        <x:v>0.2</x:v>
      </x:c>
      <x:c r="G69" s="54" t="str">
        <x:v>Synthetic portfolio assumption</x:v>
      </x:c>
    </x:row>
    <x:row r="70">
      <x:c r="A70" s="35" t="str">
        <x:v>D&amp;A % Beginning PP&amp;E</x:v>
      </x:c>
      <x:c r="B70" s="35" t="str">
        <x:v>Upside</x:v>
      </x:c>
      <x:c r="C70" s="87" t="n">
        <x:v>0.2</x:v>
      </x:c>
      <x:c r="D70" s="87" t="n">
        <x:v>0.2</x:v>
      </x:c>
      <x:c r="E70" s="87" t="n">
        <x:v>0.2</x:v>
      </x:c>
      <x:c r="F70" s="87" t="n">
        <x:v>0.2</x:v>
      </x:c>
      <x:c r="G70" s="54" t="str">
        <x:v>Synthetic portfolio assumption</x:v>
      </x:c>
    </x:row>
    <x:row r="71">
      <x:c r="A71" s="35" t="str">
        <x:v>D&amp;A % Beginning PP&amp;E</x:v>
      </x:c>
      <x:c r="B71" s="35" t="str">
        <x:v>Downside</x:v>
      </x:c>
      <x:c r="C71" s="87" t="n">
        <x:v>0.2</x:v>
      </x:c>
      <x:c r="D71" s="87" t="n">
        <x:v>0.2</x:v>
      </x:c>
      <x:c r="E71" s="87" t="n">
        <x:v>0.2</x:v>
      </x:c>
      <x:c r="F71" s="87" t="n">
        <x:v>0.2</x:v>
      </x:c>
      <x:c r="G71" s="54" t="str">
        <x:v>Synthetic portfolio assumption</x:v>
      </x:c>
    </x:row>
    <x:row r="72">
      <x:c r="A72" s="35" t="str">
        <x:v>D&amp;A % Current Capex</x:v>
      </x:c>
      <x:c r="B72" s="35" t="str">
        <x:v>Base</x:v>
      </x:c>
      <x:c r="C72" s="87" t="n">
        <x:v>0.1</x:v>
      </x:c>
      <x:c r="D72" s="87" t="n">
        <x:v>0.1</x:v>
      </x:c>
      <x:c r="E72" s="87" t="n">
        <x:v>0.1</x:v>
      </x:c>
      <x:c r="F72" s="87" t="n">
        <x:v>0.1</x:v>
      </x:c>
      <x:c r="G72" s="54" t="str">
        <x:v>Synthetic portfolio assumption</x:v>
      </x:c>
    </x:row>
    <x:row r="73">
      <x:c r="A73" s="35" t="str">
        <x:v>D&amp;A % Current Capex</x:v>
      </x:c>
      <x:c r="B73" s="35" t="str">
        <x:v>Upside</x:v>
      </x:c>
      <x:c r="C73" s="87" t="n">
        <x:v>0.1</x:v>
      </x:c>
      <x:c r="D73" s="87" t="n">
        <x:v>0.1</x:v>
      </x:c>
      <x:c r="E73" s="87" t="n">
        <x:v>0.1</x:v>
      </x:c>
      <x:c r="F73" s="87" t="n">
        <x:v>0.1</x:v>
      </x:c>
      <x:c r="G73" s="54" t="str">
        <x:v>Synthetic portfolio assumption</x:v>
      </x:c>
    </x:row>
    <x:row r="74">
      <x:c r="A74" s="35" t="str">
        <x:v>D&amp;A % Current Capex</x:v>
      </x:c>
      <x:c r="B74" s="35" t="str">
        <x:v>Downside</x:v>
      </x:c>
      <x:c r="C74" s="87" t="n">
        <x:v>0.1</x:v>
      </x:c>
      <x:c r="D74" s="87" t="n">
        <x:v>0.1</x:v>
      </x:c>
      <x:c r="E74" s="87" t="n">
        <x:v>0.1</x:v>
      </x:c>
      <x:c r="F74" s="87" t="n">
        <x:v>0.1</x:v>
      </x:c>
      <x:c r="G74" s="54" t="str">
        <x:v>Synthetic portfolio assumption</x:v>
      </x:c>
    </x:row>
    <x:row r="75">
      <x:c r="A75" s="35" t="str">
        <x:v>Dividends % Net Income</x:v>
      </x:c>
      <x:c r="B75" s="35" t="str">
        <x:v>Base</x:v>
      </x:c>
      <x:c r="C75" s="87" t="n">
        <x:v>0</x:v>
      </x:c>
      <x:c r="D75" s="87" t="n">
        <x:v>0</x:v>
      </x:c>
      <x:c r="E75" s="87" t="n">
        <x:v>0</x:v>
      </x:c>
      <x:c r="F75" s="87" t="n">
        <x:v>0</x:v>
      </x:c>
      <x:c r="G75" s="54" t="str">
        <x:v>Synthetic portfolio assumption</x:v>
      </x:c>
    </x:row>
    <x:row r="76">
      <x:c r="A76" s="35" t="str">
        <x:v>Dividends % Net Income</x:v>
      </x:c>
      <x:c r="B76" s="35" t="str">
        <x:v>Upside</x:v>
      </x:c>
      <x:c r="C76" s="87" t="n">
        <x:v>0</x:v>
      </x:c>
      <x:c r="D76" s="87" t="n">
        <x:v>0</x:v>
      </x:c>
      <x:c r="E76" s="87" t="n">
        <x:v>0</x:v>
      </x:c>
      <x:c r="F76" s="87" t="n">
        <x:v>0</x:v>
      </x:c>
      <x:c r="G76" s="54" t="str">
        <x:v>Synthetic portfolio assumption</x:v>
      </x:c>
    </x:row>
    <x:row r="77">
      <x:c r="A77" s="35" t="str">
        <x:v>Dividends % Net Income</x:v>
      </x:c>
      <x:c r="B77" s="35" t="str">
        <x:v>Downside</x:v>
      </x:c>
      <x:c r="C77" s="87" t="n">
        <x:v>0</x:v>
      </x:c>
      <x:c r="D77" s="87" t="n">
        <x:v>0</x:v>
      </x:c>
      <x:c r="E77" s="87" t="n">
        <x:v>0</x:v>
      </x:c>
      <x:c r="F77" s="87" t="n">
        <x:v>0</x:v>
      </x:c>
      <x:c r="G77" s="54" t="str">
        <x:v>Synthetic portfolio assumption</x:v>
      </x:c>
    </x:row>
    <x:row r="78">
      <x:c r="A78" s="35"/>
      <x:c r="B78" s="35"/>
      <x:c r="C78" s="35"/>
      <x:c r="D78" s="35"/>
      <x:c r="E78" s="35"/>
      <x:c r="F78" s="35"/>
    </x:row>
    <x:row r="79">
      <x:c r="A79" s="35"/>
      <x:c r="B79" s="35"/>
      <x:c r="C79" s="35"/>
      <x:c r="D79" s="35"/>
      <x:c r="E79" s="35"/>
      <x:c r="F79" s="35"/>
    </x:row>
    <x:row r="80">
      <x:c r="A80" s="35"/>
      <x:c r="B80" s="35"/>
      <x:c r="C80" s="35"/>
      <x:c r="D80" s="35"/>
      <x:c r="E80" s="35"/>
      <x:c r="F80" s="35"/>
    </x:row>
  </x:sheetData>
  <x:mergeCells>
    <x:mergeCell ref="A1:F1"/>
    <x:mergeCell ref="A5:F5"/>
    <x:mergeCell ref="A25:F25"/>
  </x:mergeCells>
  <x:dataValidations count="1">
    <x:dataValidation type="list" sqref="B3">
      <x:formula1>"Base,Upside,Downside"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Revenue Build</x:v>
      </x:c>
      <x:c r="B1" s="35"/>
      <x:c r="C1" s="35"/>
      <x:c r="D1" s="35"/>
      <x:c r="E1" s="35"/>
      <x:c r="F1" s="35"/>
    </x:row>
    <x:row r="2">
      <x:c r="A2" s="35" t="str">
        <x:v>Units: USD $mm | Forecast revenue is driven by selected scenario growth rates</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114" t="str">
        <x:v>Revenue</x:v>
      </x:c>
      <x:c r="B5" s="115" t="n">
        <x:f>Actuals_Input!B6</x:f>
        <x:v>20</x:v>
      </x:c>
      <x:c r="C5" s="116" t="n">
        <x:f>B5*(1+Assumptions!B7)</x:f>
        <x:v>25</x:v>
      </x:c>
      <x:c r="D5" s="116" t="n">
        <x:f>C5*(1+Assumptions!C7)</x:f>
        <x:v>30.5</x:v>
      </x:c>
      <x:c r="E5" s="116" t="n">
        <x:f>D5*(1+Assumptions!D7)</x:f>
        <x:v>36.6</x:v>
      </x:c>
      <x:c r="F5" s="116" t="n">
        <x:f>E5*(1+Assumptions!E7)</x:f>
        <x:v>43.188</x:v>
      </x:c>
    </x:row>
    <x:row r="6">
      <x:c r="A6" s="35" t="str">
        <x:v>YoY Growth</x:v>
      </x:c>
      <x:c r="B6" s="35" t="str">
        <x:v>-</x:v>
      </x:c>
      <x:c r="C6" s="117" t="n">
        <x:f>Assumptions!B7</x:f>
        <x:v>0.25</x:v>
      </x:c>
      <x:c r="D6" s="117" t="n">
        <x:f>Assumptions!C7</x:f>
        <x:v>0.22</x:v>
      </x:c>
      <x:c r="E6" s="117" t="n">
        <x:f>Assumptions!D7</x:f>
        <x:v>0.2</x:v>
      </x:c>
      <x:c r="F6" s="117" t="n">
        <x:f>Assumptions!E7</x:f>
        <x:v>0.18</x:v>
      </x:c>
    </x:row>
    <x:row r="7">
      <x:c r="A7" s="35" t="str">
        <x:v>Scenario</x:v>
      </x:c>
      <x:c r="B7" s="118" t="str">
        <x:f>Assumptions!$B$3</x:f>
        <x:v>Base</x:v>
      </x:c>
      <x:c r="C7" s="35" t="str">
        <x:f>Assumptions!$B$3</x:f>
        <x:v>Base</x:v>
      </x:c>
      <x:c r="D7" s="35" t="str">
        <x:f>Assumptions!$B$3</x:f>
        <x:v>Base</x:v>
      </x:c>
      <x:c r="E7" s="35" t="str">
        <x:f>Assumptions!$B$3</x:f>
        <x:v>Base</x:v>
      </x:c>
      <x:c r="F7" s="35" t="str">
        <x:f>Assumptions!$B$3</x:f>
        <x:v>Base</x:v>
      </x:c>
    </x:row>
    <x:row r="8">
      <x:c r="A8" s="35"/>
      <x:c r="B8" s="35"/>
      <x:c r="C8" s="35"/>
      <x:c r="D8" s="35"/>
      <x:c r="E8" s="35"/>
      <x:c r="F8" s="35"/>
    </x:row>
    <x:row r="9">
      <x:c r="A9" s="35"/>
      <x:c r="B9" s="35"/>
      <x:c r="C9" s="35"/>
      <x:c r="D9" s="35"/>
      <x:c r="E9" s="35"/>
      <x:c r="F9" s="35"/>
    </x:row>
    <x:row r="10">
      <x:c r="A10" s="35"/>
      <x:c r="B10" s="35"/>
      <x:c r="C10" s="35"/>
      <x:c r="D10" s="35"/>
      <x:c r="E10" s="35"/>
      <x:c r="F10" s="35"/>
    </x:row>
    <x:row r="11">
      <x:c r="A11" s="35"/>
      <x:c r="B11" s="35"/>
      <x:c r="C11" s="35"/>
      <x:c r="D11" s="35"/>
      <x:c r="E11" s="35"/>
      <x:c r="F11" s="35"/>
    </x:row>
    <x:row r="12">
      <x:c r="A12" s="35"/>
      <x:c r="B12" s="35"/>
      <x:c r="C12" s="35"/>
      <x:c r="D12" s="35"/>
      <x:c r="E12" s="35"/>
      <x:c r="F12" s="35"/>
    </x:row>
  </x:sheetData>
  <x:mergeCells>
    <x:mergeCell ref="A1:F1"/>
    <x:mergeCell ref="A2:F2"/>
  </x:mergeCell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Income Statement</x:v>
      </x:c>
      <x:c r="B1" s="35"/>
      <x:c r="C1" s="35"/>
      <x:c r="D1" s="35"/>
      <x:c r="E1" s="35"/>
      <x:c r="F1" s="35"/>
    </x:row>
    <x:row r="2">
      <x:c r="A2" s="35" t="str">
        <x:v>Units: USD $mm except per-share metrics and percentages</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35" t="str">
        <x:v>Revenue</x:v>
      </x:c>
      <x:c r="B5" s="124" t="n">
        <x:f>Actuals_Input!B6</x:f>
        <x:v>20</x:v>
      </x:c>
      <x:c r="C5" s="124" t="n">
        <x:f>Revenue_Build!C5</x:f>
        <x:v>25</x:v>
      </x:c>
      <x:c r="D5" s="124" t="n">
        <x:f>Revenue_Build!D5</x:f>
        <x:v>30.5</x:v>
      </x:c>
      <x:c r="E5" s="124" t="n">
        <x:f>Revenue_Build!E5</x:f>
        <x:v>36.6</x:v>
      </x:c>
      <x:c r="F5" s="124" t="n">
        <x:f>Revenue_Build!F5</x:f>
        <x:v>43.188</x:v>
      </x:c>
    </x:row>
    <x:row r="6">
      <x:c r="A6" s="35" t="str">
        <x:v>COGS</x:v>
      </x:c>
      <x:c r="B6" s="124" t="n">
        <x:f>Actuals_Input!B7</x:f>
        <x:v>5</x:v>
      </x:c>
      <x:c r="C6" s="125" t="n">
        <x:f>C5*(1-Assumptions!B8)</x:f>
        <x:v>6</x:v>
      </x:c>
      <x:c r="D6" s="125" t="n">
        <x:f>D5*(1-Assumptions!C8)</x:f>
        <x:v>7.015</x:v>
      </x:c>
      <x:c r="E6" s="125" t="n">
        <x:f>E5*(1-Assumptions!D8)</x:f>
        <x:v>8.052</x:v>
      </x:c>
      <x:c r="F6" s="125" t="n">
        <x:f>F5*(1-Assumptions!E8)</x:f>
        <x:v>9.069479999999999</x:v>
      </x:c>
    </x:row>
    <x:row r="7">
      <x:c r="A7" s="114" t="str">
        <x:v>Gross Profit</x:v>
      </x:c>
      <x:c r="B7" s="116" t="n">
        <x:f>B5-B6</x:f>
        <x:v>15</x:v>
      </x:c>
      <x:c r="C7" s="116" t="n">
        <x:f>C5-C6</x:f>
        <x:v>19</x:v>
      </x:c>
      <x:c r="D7" s="116" t="n">
        <x:f>D5-D6</x:f>
        <x:v>23.485</x:v>
      </x:c>
      <x:c r="E7" s="116" t="n">
        <x:f>E5-E6</x:f>
        <x:v>28.548000000000002</x:v>
      </x:c>
      <x:c r="F7" s="116" t="n">
        <x:f>F5-F6</x:f>
        <x:v>34.118520000000004</x:v>
      </x:c>
    </x:row>
    <x:row r="8">
      <x:c r="A8" s="35" t="str">
        <x:v>Gross Margin</x:v>
      </x:c>
      <x:c r="B8" s="117" t="n">
        <x:f>B7/B5</x:f>
        <x:v>0.75</x:v>
      </x:c>
      <x:c r="C8" s="117" t="n">
        <x:f>C7/C5</x:f>
        <x:v>0.76</x:v>
      </x:c>
      <x:c r="D8" s="117" t="n">
        <x:f>D7/D5</x:f>
        <x:v>0.77</x:v>
      </x:c>
      <x:c r="E8" s="117" t="n">
        <x:f>E7/E5</x:f>
        <x:v>0.78</x:v>
      </x:c>
      <x:c r="F8" s="117" t="n">
        <x:f>F7/F5</x:f>
        <x:v>0.79</x:v>
      </x:c>
    </x:row>
    <x:row r="9">
      <x:c r="A9" s="35"/>
      <x:c r="B9" s="125"/>
      <x:c r="C9" s="125"/>
      <x:c r="D9" s="125"/>
      <x:c r="E9" s="125"/>
      <x:c r="F9" s="125"/>
    </x:row>
    <x:row r="10">
      <x:c r="A10" s="35" t="str">
        <x:v>Sales &amp; Marketing</x:v>
      </x:c>
      <x:c r="B10" s="124" t="n">
        <x:f>Actuals_Input!B8</x:f>
        <x:v>5.999999999999999</x:v>
      </x:c>
      <x:c r="C10" s="125" t="n">
        <x:f>C5*Assumptions!B9</x:f>
        <x:v>7.000000000000001</x:v>
      </x:c>
      <x:c r="D10" s="125" t="n">
        <x:f>D5*Assumptions!C9</x:f>
        <x:v>8.235000000000001</x:v>
      </x:c>
      <x:c r="E10" s="125" t="n">
        <x:f>E5*Assumptions!D9</x:f>
        <x:v>9.516</x:v>
      </x:c>
      <x:c r="F10" s="125" t="n">
        <x:f>F5*Assumptions!E9</x:f>
        <x:v>10.797</x:v>
      </x:c>
    </x:row>
    <x:row r="11">
      <x:c r="A11" s="35" t="str">
        <x:v>R&amp;D</x:v>
      </x:c>
      <x:c r="B11" s="124" t="n">
        <x:f>Actuals_Input!B9</x:f>
        <x:v>3.6</x:v>
      </x:c>
      <x:c r="C11" s="125" t="n">
        <x:f>C5*Assumptions!B10</x:f>
        <x:v>4.25</x:v>
      </x:c>
      <x:c r="D11" s="125" t="n">
        <x:f>D5*Assumptions!C10</x:f>
        <x:v>5.032500000000001</x:v>
      </x:c>
      <x:c r="E11" s="125" t="n">
        <x:f>E5*Assumptions!D10</x:f>
        <x:v>5.856000000000001</x:v>
      </x:c>
      <x:c r="F11" s="125" t="n">
        <x:f>F5*Assumptions!E10</x:f>
        <x:v>6.69414</x:v>
      </x:c>
    </x:row>
    <x:row r="12">
      <x:c r="A12" s="35" t="str">
        <x:v>G&amp;A</x:v>
      </x:c>
      <x:c r="B12" s="124" t="n">
        <x:f>Actuals_Input!B10</x:f>
        <x:v>2.9999999999999996</x:v>
      </x:c>
      <x:c r="C12" s="125" t="n">
        <x:f>C5*Assumptions!B11</x:f>
        <x:v>3.5000000000000004</x:v>
      </x:c>
      <x:c r="D12" s="125" t="n">
        <x:f>D5*Assumptions!C11</x:f>
        <x:v>3.9650000000000003</x:v>
      </x:c>
      <x:c r="E12" s="125" t="n">
        <x:f>E5*Assumptions!D11</x:f>
        <x:v>4.392</x:v>
      </x:c>
      <x:c r="F12" s="125" t="n">
        <x:f>F5*Assumptions!E11</x:f>
        <x:v>4.966620000000001</x:v>
      </x:c>
    </x:row>
    <x:row r="13">
      <x:c r="A13" s="114" t="str">
        <x:v>Total Operating Expenses</x:v>
      </x:c>
      <x:c r="B13" s="116" t="n">
        <x:f>SUM(B10:B12)</x:f>
        <x:v>12.6</x:v>
      </x:c>
      <x:c r="C13" s="116" t="n">
        <x:f>SUM(C10:C12)</x:f>
        <x:v>14.75</x:v>
      </x:c>
      <x:c r="D13" s="116" t="n">
        <x:f>SUM(D10:D12)</x:f>
        <x:v>17.2325</x:v>
      </x:c>
      <x:c r="E13" s="116" t="n">
        <x:f>SUM(E10:E12)</x:f>
        <x:v>19.764</x:v>
      </x:c>
      <x:c r="F13" s="116" t="n">
        <x:f>SUM(F10:F12)</x:f>
        <x:v>22.45776</x:v>
      </x:c>
    </x:row>
    <x:row r="14">
      <x:c r="A14" s="114" t="str">
        <x:v>EBITDA</x:v>
      </x:c>
      <x:c r="B14" s="116" t="n">
        <x:f>B7-B13</x:f>
        <x:v>2.4000000000000004</x:v>
      </x:c>
      <x:c r="C14" s="116" t="n">
        <x:f>C7-C13</x:f>
        <x:v>4.25</x:v>
      </x:c>
      <x:c r="D14" s="116" t="n">
        <x:f>D7-D13</x:f>
        <x:v>6.252499999999998</x:v>
      </x:c>
      <x:c r="E14" s="116" t="n">
        <x:f>E7-E13</x:f>
        <x:v>8.784000000000002</x:v>
      </x:c>
      <x:c r="F14" s="116" t="n">
        <x:f>F7-F13</x:f>
        <x:v>11.660760000000003</x:v>
      </x:c>
    </x:row>
    <x:row r="15">
      <x:c r="A15" s="35" t="str">
        <x:v>EBITDA Margin</x:v>
      </x:c>
      <x:c r="B15" s="117" t="n">
        <x:f>B14/B5</x:f>
        <x:v>0.12000000000000002</x:v>
      </x:c>
      <x:c r="C15" s="117" t="n">
        <x:f>C14/C5</x:f>
        <x:v>0.17</x:v>
      </x:c>
      <x:c r="D15" s="117" t="n">
        <x:f>D14/D5</x:f>
        <x:v>0.20499999999999993</x:v>
      </x:c>
      <x:c r="E15" s="117" t="n">
        <x:f>E14/E5</x:f>
        <x:v>0.24000000000000005</x:v>
      </x:c>
      <x:c r="F15" s="117" t="n">
        <x:f>F14/F5</x:f>
        <x:v>0.2700000000000001</x:v>
      </x:c>
    </x:row>
    <x:row r="16">
      <x:c r="A16" s="35"/>
      <x:c r="B16" s="125"/>
      <x:c r="C16" s="125"/>
      <x:c r="D16" s="125"/>
      <x:c r="E16" s="125"/>
      <x:c r="F16" s="125"/>
    </x:row>
    <x:row r="17">
      <x:c r="A17" s="35" t="str">
        <x:v>D&amp;A</x:v>
      </x:c>
      <x:c r="B17" s="124" t="n">
        <x:f>Actuals_Input!B11</x:f>
        <x:v>0.4</x:v>
      </x:c>
      <x:c r="C17" s="125" t="n">
        <x:f>Balance_Sheet!B10*Assumptions!B21+C5*Assumptions!B17*Assumptions!B22</x:f>
        <x:v>0.5</x:v>
      </x:c>
      <x:c r="D17" s="125" t="n">
        <x:f>Balance_Sheet!C10*Assumptions!C21+D5*Assumptions!C17*Assumptions!C22</x:f>
        <x:v>0.622</x:v>
      </x:c>
      <x:c r="E17" s="125" t="n">
        <x:f>Balance_Sheet!D10*Assumptions!D21+E5*Assumptions!D17*Assumptions!D22</x:f>
        <x:v>0.7477</x:v>
      </x:c>
      <x:c r="F17" s="125" t="n">
        <x:f>Balance_Sheet!E10*Assumptions!E21+F5*Assumptions!E17*Assumptions!E22</x:f>
        <x:v>0.8774179999999999</x:v>
      </x:c>
    </x:row>
    <x:row r="18">
      <x:c r="A18" s="114" t="str">
        <x:v>EBIT</x:v>
      </x:c>
      <x:c r="B18" s="116" t="n">
        <x:f>B14-B17</x:f>
        <x:v>2.0000000000000004</x:v>
      </x:c>
      <x:c r="C18" s="116" t="n">
        <x:f>C14-C17</x:f>
        <x:v>3.75</x:v>
      </x:c>
      <x:c r="D18" s="116" t="n">
        <x:f>D14-D17</x:f>
        <x:v>5.630499999999998</x:v>
      </x:c>
      <x:c r="E18" s="116" t="n">
        <x:f>E14-E17</x:f>
        <x:v>8.036300000000002</x:v>
      </x:c>
      <x:c r="F18" s="116" t="n">
        <x:f>F14-F17</x:f>
        <x:v>10.783342000000003</x:v>
      </x:c>
    </x:row>
    <x:row r="19">
      <x:c r="A19" s="35" t="str">
        <x:v>Interest Expense</x:v>
      </x:c>
      <x:c r="B19" s="124" t="n">
        <x:f>Actuals_Input!B12</x:f>
        <x:v>0.30000000000000004</x:v>
      </x:c>
      <x:c r="C19" s="125" t="n">
        <x:f>AVERAGE(Balance_Sheet!B19,Balance_Sheet!B19*(1-Assumptions!B18))*Assumptions!B19</x:f>
        <x:v>0.18</x:v>
      </x:c>
      <x:c r="D19" s="125" t="n">
        <x:f>AVERAGE(Balance_Sheet!C19,Balance_Sheet!C19*(1-Assumptions!C18))*Assumptions!C19</x:f>
        <x:v>0.14</x:v>
      </x:c>
      <x:c r="E19" s="125" t="n">
        <x:f>AVERAGE(Balance_Sheet!D19,Balance_Sheet!D19*(1-Assumptions!D18))*Assumptions!D19</x:f>
        <x:v>0.102</x:v>
      </x:c>
      <x:c r="F19" s="125" t="n">
        <x:f>AVERAGE(Balance_Sheet!E19,Balance_Sheet!E19*(1-Assumptions!E18))*Assumptions!E19</x:f>
        <x:v>0.06929999999999999</x:v>
      </x:c>
    </x:row>
    <x:row r="20">
      <x:c r="A20" s="114" t="str">
        <x:v>Earnings Before Tax</x:v>
      </x:c>
      <x:c r="B20" s="116" t="n">
        <x:f>B18-B19</x:f>
        <x:v>1.7000000000000004</x:v>
      </x:c>
      <x:c r="C20" s="116" t="n">
        <x:f>C18-C19</x:f>
        <x:v>3.57</x:v>
      </x:c>
      <x:c r="D20" s="116" t="n">
        <x:f>D18-D19</x:f>
        <x:v>5.490499999999998</x:v>
      </x:c>
      <x:c r="E20" s="116" t="n">
        <x:f>E18-E19</x:f>
        <x:v>7.934300000000002</x:v>
      </x:c>
      <x:c r="F20" s="116" t="n">
        <x:f>F18-F19</x:f>
        <x:v>10.714042000000003</x:v>
      </x:c>
    </x:row>
    <x:row r="21">
      <x:c r="A21" s="35" t="str">
        <x:v>Taxes</x:v>
      </x:c>
      <x:c r="B21" s="124" t="n">
        <x:f>Actuals_Input!B13</x:f>
        <x:v>0.425</x:v>
      </x:c>
      <x:c r="C21" s="125" t="n">
        <x:f>MAX(0,C20*Assumptions!B20)</x:f>
        <x:v>0.8925</x:v>
      </x:c>
      <x:c r="D21" s="125" t="n">
        <x:f>MAX(0,D20*Assumptions!C20)</x:f>
        <x:v>1.3726249999999995</x:v>
      </x:c>
      <x:c r="E21" s="125" t="n">
        <x:f>MAX(0,E20*Assumptions!D20)</x:f>
        <x:v>1.9835750000000005</x:v>
      </x:c>
      <x:c r="F21" s="125" t="n">
        <x:f>MAX(0,F20*Assumptions!E20)</x:f>
        <x:v>2.6785105000000007</x:v>
      </x:c>
    </x:row>
    <x:row r="22">
      <x:c r="A22" s="114" t="str">
        <x:v>Net Income</x:v>
      </x:c>
      <x:c r="B22" s="116" t="n">
        <x:f>B20-B21</x:f>
        <x:v>1.2750000000000004</x:v>
      </x:c>
      <x:c r="C22" s="116" t="n">
        <x:f>C20-C21</x:f>
        <x:v>2.6774999999999998</x:v>
      </x:c>
      <x:c r="D22" s="116" t="n">
        <x:f>D20-D21</x:f>
        <x:v>4.117874999999999</x:v>
      </x:c>
      <x:c r="E22" s="116" t="n">
        <x:f>E20-E21</x:f>
        <x:v>5.950725000000002</x:v>
      </x:c>
      <x:c r="F22" s="116" t="n">
        <x:f>F20-F21</x:f>
        <x:v>8.035531500000001</x:v>
      </x:c>
    </x:row>
    <x:row r="23">
      <x:c r="A23" s="35"/>
      <x:c r="B23" s="35"/>
      <x:c r="C23" s="35"/>
      <x:c r="D23" s="35"/>
      <x:c r="E23" s="35"/>
      <x:c r="F23" s="35"/>
    </x:row>
    <x:row r="24">
      <x:c r="A24" s="35"/>
      <x:c r="B24" s="35"/>
      <x:c r="C24" s="35"/>
      <x:c r="D24" s="35"/>
      <x:c r="E24" s="35"/>
      <x:c r="F24" s="35"/>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Balance Sheet</x:v>
      </x:c>
      <x:c r="B1" s="35"/>
      <x:c r="C1" s="35"/>
      <x:c r="D1" s="35"/>
      <x:c r="E1" s="35"/>
      <x:c r="F1" s="35"/>
    </x:row>
    <x:row r="2">
      <x:c r="A2" s="35" t="str">
        <x:v>Units: USD $mm</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35" t="str">
        <x:v>Cash</x:v>
      </x:c>
      <x:c r="B5" s="124" t="n">
        <x:f>Actuals_Input!B17</x:f>
        <x:v>4</x:v>
      </x:c>
      <x:c r="C5" s="124" t="n">
        <x:f>Cash_Flow!C24</x:f>
        <x:v>5.835116438356165</x:v>
      </x:c>
      <x:c r="D5" s="124" t="n">
        <x:f>Cash_Flow!D24</x:f>
        <x:v>9.218475</x:v>
      </x:c>
      <x:c r="E5" s="124" t="n">
        <x:f>Cash_Flow!E24</x:f>
        <x:v>14.55980493150685</x:v>
      </x:c>
      <x:c r="F5" s="124" t="n">
        <x:f>Cash_Flow!F24</x:f>
        <x:v>22.068132765753425</x:v>
      </x:c>
    </x:row>
    <x:row r="6">
      <x:c r="A6" s="35" t="str">
        <x:v>Accounts Receivable</x:v>
      </x:c>
      <x:c r="B6" s="124" t="n">
        <x:f>Actuals_Input!B18</x:f>
        <x:v>2.4657534246575343</x:v>
      </x:c>
      <x:c r="C6" s="125" t="n">
        <x:f>Income_Statement!C5/365*Assumptions!B12</x:f>
        <x:v>2.9452054794520546</x:v>
      </x:c>
      <x:c r="D6" s="125" t="n">
        <x:f>Income_Statement!D5/365*Assumptions!C12</x:f>
        <x:v>3.426027397260274</x:v>
      </x:c>
      <x:c r="E6" s="125" t="n">
        <x:f>Income_Statement!E5/365*Assumptions!D12</x:f>
        <x:v>4.010958904109589</x:v>
      </x:c>
      <x:c r="F6" s="125" t="n">
        <x:f>Income_Statement!F5/365*Assumptions!E12</x:f>
        <x:v>4.614608219178082</x:v>
      </x:c>
    </x:row>
    <x:row r="7">
      <x:c r="A7" s="35" t="str">
        <x:v>Other Current Assets</x:v>
      </x:c>
      <x:c r="B7" s="124" t="n">
        <x:f>Actuals_Input!B19</x:f>
        <x:v>0.6</x:v>
      </x:c>
      <x:c r="C7" s="125" t="n">
        <x:f>Income_Statement!C5*Assumptions!B14</x:f>
        <x:v>0.75</x:v>
      </x:c>
      <x:c r="D7" s="125" t="n">
        <x:f>Income_Statement!D5*Assumptions!C14</x:f>
        <x:v>0.9149999999999999</x:v>
      </x:c>
      <x:c r="E7" s="125" t="n">
        <x:f>Income_Statement!E5*Assumptions!D14</x:f>
        <x:v>1.098</x:v>
      </x:c>
      <x:c r="F7" s="125" t="n">
        <x:f>Income_Statement!F5*Assumptions!E14</x:f>
        <x:v>1.2956400000000001</x:v>
      </x:c>
    </x:row>
    <x:row r="8">
      <x:c r="A8" s="114" t="str">
        <x:v>Total Current Assets</x:v>
      </x:c>
      <x:c r="B8" s="116" t="n">
        <x:f>SUM(B5:B7)</x:f>
        <x:v>7.065753424657534</x:v>
      </x:c>
      <x:c r="C8" s="116" t="n">
        <x:f>SUM(C5:C7)</x:f>
        <x:v>9.53032191780822</x:v>
      </x:c>
      <x:c r="D8" s="116" t="n">
        <x:f>SUM(D5:D7)</x:f>
        <x:v>13.559502397260273</x:v>
      </x:c>
      <x:c r="E8" s="116" t="n">
        <x:f>SUM(E5:E7)</x:f>
        <x:v>19.66876383561644</x:v>
      </x:c>
      <x:c r="F8" s="116" t="n">
        <x:f>SUM(F5:F7)</x:f>
        <x:v>27.978380984931505</x:v>
      </x:c>
    </x:row>
    <x:row r="9">
      <x:c r="A9" s="35"/>
      <x:c r="B9" s="125"/>
      <x:c r="C9" s="125"/>
      <x:c r="D9" s="125"/>
      <x:c r="E9" s="125"/>
      <x:c r="F9" s="125"/>
    </x:row>
    <x:row r="10">
      <x:c r="A10" s="35" t="str">
        <x:v>PP&amp;E, Net</x:v>
      </x:c>
      <x:c r="B10" s="124" t="n">
        <x:f>Actuals_Input!B20</x:f>
        <x:v>2</x:v>
      </x:c>
      <x:c r="C10" s="125" t="n">
        <x:f>B10+Income_Statement!C5*Assumptions!B17-Income_Statement!C17</x:f>
        <x:v>2.5</x:v>
      </x:c>
      <x:c r="D10" s="125" t="n">
        <x:f>C10+Income_Statement!D5*Assumptions!C17-Income_Statement!D17</x:f>
        <x:v>3.098</x:v>
      </x:c>
      <x:c r="E10" s="125" t="n">
        <x:f>D10+Income_Statement!E5*Assumptions!D17-Income_Statement!E17</x:f>
        <x:v>3.6312999999999995</x:v>
      </x:c>
      <x:c r="F10" s="125" t="n">
        <x:f>E10+Income_Statement!F5*Assumptions!E17-Income_Statement!F17</x:f>
        <x:v>4.265462</x:v>
      </x:c>
    </x:row>
    <x:row r="11">
      <x:c r="A11" s="114" t="str">
        <x:v>Total Assets</x:v>
      </x:c>
      <x:c r="B11" s="116" t="n">
        <x:f>B8+B10</x:f>
        <x:v>9.065753424657533</x:v>
      </x:c>
      <x:c r="C11" s="116" t="n">
        <x:f>C8+C10</x:f>
        <x:v>12.03032191780822</x:v>
      </x:c>
      <x:c r="D11" s="116" t="n">
        <x:f>D8+D10</x:f>
        <x:v>16.657502397260274</x:v>
      </x:c>
      <x:c r="E11" s="116" t="n">
        <x:f>E8+E10</x:f>
        <x:v>23.300063835616438</x:v>
      </x:c>
      <x:c r="F11" s="116" t="n">
        <x:f>F8+F10</x:f>
        <x:v>32.243842984931504</x:v>
      </x:c>
    </x:row>
    <x:row r="12">
      <x:c r="A12" s="35"/>
      <x:c r="B12" s="125"/>
      <x:c r="C12" s="125"/>
      <x:c r="D12" s="125"/>
      <x:c r="E12" s="125"/>
      <x:c r="F12" s="125"/>
    </x:row>
    <x:row r="13">
      <x:c r="A13" s="35"/>
      <x:c r="B13" s="125"/>
      <x:c r="C13" s="125"/>
      <x:c r="D13" s="125"/>
      <x:c r="E13" s="125"/>
      <x:c r="F13" s="125"/>
    </x:row>
    <x:row r="14">
      <x:c r="A14" s="35" t="str">
        <x:v>Accounts Payable</x:v>
      </x:c>
      <x:c r="B14" s="124" t="n">
        <x:f>Actuals_Input!B21</x:f>
        <x:v>0.410958904109589</x:v>
      </x:c>
      <x:c r="C14" s="125" t="n">
        <x:f>Income_Statement!C6/365*Assumptions!B13</x:f>
        <x:v>0.5260273972602739</x:v>
      </x:c>
      <x:c r="D14" s="125" t="n">
        <x:f>Income_Statement!D6/365*Assumptions!C13</x:f>
        <x:v>0.6342328767123288</x:v>
      </x:c>
      <x:c r="E14" s="125" t="n">
        <x:f>Income_Statement!E6/365*Assumptions!D13</x:f>
        <x:v>0.7500493150684931</x:v>
      </x:c>
      <x:c r="F14" s="125" t="n">
        <x:f>Income_Statement!F6/365*Assumptions!E13</x:f>
        <x:v>0.8696761643835615</x:v>
      </x:c>
    </x:row>
    <x:row r="15">
      <x:c r="A15" s="35" t="str">
        <x:v>Accrued Expenses</x:v>
      </x:c>
      <x:c r="B15" s="124" t="n">
        <x:f>Actuals_Input!B22</x:f>
        <x:v>1.008</x:v>
      </x:c>
      <x:c r="C15" s="125" t="n">
        <x:f>SUM(Income_Statement!C10:C12)*Assumptions!B15</x:f>
        <x:v>1.18</x:v>
      </x:c>
      <x:c r="D15" s="125" t="n">
        <x:f>SUM(Income_Statement!D10:D12)*Assumptions!C15</x:f>
        <x:v>1.3786000000000003</x:v>
      </x:c>
      <x:c r="E15" s="125" t="n">
        <x:f>SUM(Income_Statement!E10:E12)*Assumptions!D15</x:f>
        <x:v>1.58112</x:v>
      </x:c>
      <x:c r="F15" s="125" t="n">
        <x:f>SUM(Income_Statement!F10:F12)*Assumptions!E15</x:f>
        <x:v>1.7966208000000001</x:v>
      </x:c>
    </x:row>
    <x:row r="16">
      <x:c r="A16" s="35" t="str">
        <x:v>Deferred Revenue</x:v>
      </x:c>
      <x:c r="B16" s="124" t="n">
        <x:f>Actuals_Input!B23</x:f>
        <x:v>2</x:v>
      </x:c>
      <x:c r="C16" s="125" t="n">
        <x:f>Income_Statement!C5*Assumptions!B16</x:f>
        <x:v>2.5</x:v>
      </x:c>
      <x:c r="D16" s="125" t="n">
        <x:f>Income_Statement!D5*Assumptions!C16</x:f>
        <x:v>3.2024999999999997</x:v>
      </x:c>
      <x:c r="E16" s="125" t="n">
        <x:f>Income_Statement!E5*Assumptions!D16</x:f>
        <x:v>4.026</x:v>
      </x:c>
      <x:c r="F16" s="125" t="n">
        <x:f>Income_Statement!F5*Assumptions!E16</x:f>
        <x:v>4.966620000000001</x:v>
      </x:c>
    </x:row>
    <x:row r="17">
      <x:c r="A17" s="114" t="str">
        <x:v>Total Current Liabilities</x:v>
      </x:c>
      <x:c r="B17" s="116" t="n">
        <x:f>SUM(B14:B16)</x:f>
        <x:v>3.418958904109589</x:v>
      </x:c>
      <x:c r="C17" s="116" t="n">
        <x:f>SUM(C14:C16)</x:f>
        <x:v>4.206027397260273</x:v>
      </x:c>
      <x:c r="D17" s="116" t="n">
        <x:f>SUM(D14:D16)</x:f>
        <x:v>5.215332876712329</x:v>
      </x:c>
      <x:c r="E17" s="116" t="n">
        <x:f>SUM(E14:E16)</x:f>
        <x:v>6.357169315068493</x:v>
      </x:c>
      <x:c r="F17" s="116" t="n">
        <x:f>SUM(F14:F16)</x:f>
        <x:v>7.632916964383562</x:v>
      </x:c>
    </x:row>
    <x:row r="18">
      <x:c r="A18" s="35"/>
      <x:c r="B18" s="125"/>
      <x:c r="C18" s="125"/>
      <x:c r="D18" s="125"/>
      <x:c r="E18" s="125"/>
      <x:c r="F18" s="125"/>
    </x:row>
    <x:row r="19">
      <x:c r="A19" s="35" t="str">
        <x:v>Debt</x:v>
      </x:c>
      <x:c r="B19" s="124" t="n">
        <x:f>Actuals_Input!B24</x:f>
        <x:v>2.5</x:v>
      </x:c>
      <x:c r="C19" s="125" t="n">
        <x:f>B19*(1-Assumptions!B18)</x:f>
        <x:v>2</x:v>
      </x:c>
      <x:c r="D19" s="125" t="n">
        <x:f>C19*(1-Assumptions!C18)</x:f>
        <x:v>1.5</x:v>
      </x:c>
      <x:c r="E19" s="125" t="n">
        <x:f>D19*(1-Assumptions!D18)</x:f>
        <x:v>1.0499999999999998</x:v>
      </x:c>
      <x:c r="F19" s="125" t="n">
        <x:f>E19*(1-Assumptions!E18)</x:f>
        <x:v>0.6824999999999999</x:v>
      </x:c>
    </x:row>
    <x:row r="20">
      <x:c r="A20" s="114" t="str">
        <x:v>Total Liabilities</x:v>
      </x:c>
      <x:c r="B20" s="116" t="n">
        <x:f>B17+B19</x:f>
        <x:v>5.918958904109589</x:v>
      </x:c>
      <x:c r="C20" s="116" t="n">
        <x:f>C17+C19</x:f>
        <x:v>6.206027397260273</x:v>
      </x:c>
      <x:c r="D20" s="116" t="n">
        <x:f>D17+D19</x:f>
        <x:v>6.715332876712329</x:v>
      </x:c>
      <x:c r="E20" s="116" t="n">
        <x:f>E17+E19</x:f>
        <x:v>7.407169315068493</x:v>
      </x:c>
      <x:c r="F20" s="116" t="n">
        <x:f>F17+F19</x:f>
        <x:v>8.315416964383562</x:v>
      </x:c>
    </x:row>
    <x:row r="21">
      <x:c r="A21" s="35"/>
      <x:c r="B21" s="125"/>
      <x:c r="C21" s="125"/>
      <x:c r="D21" s="125"/>
      <x:c r="E21" s="125"/>
      <x:c r="F21" s="125"/>
    </x:row>
    <x:row r="22">
      <x:c r="A22" s="35" t="str">
        <x:v>Equity</x:v>
      </x:c>
      <x:c r="B22" s="124" t="n">
        <x:f>Actuals_Input!B25</x:f>
        <x:v>3.146794520547944</x:v>
      </x:c>
      <x:c r="C22" s="125" t="n">
        <x:f>B22+Income_Statement!C22-Cash_Flow!C19</x:f>
        <x:v>5.824294520547944</x:v>
      </x:c>
      <x:c r="D22" s="125" t="n">
        <x:f>C22+Income_Statement!D22-Cash_Flow!D19</x:f>
        <x:v>9.942169520547942</x:v>
      </x:c>
      <x:c r="E22" s="125" t="n">
        <x:f>D22+Income_Statement!E22-Cash_Flow!E19</x:f>
        <x:v>15.892894520547944</x:v>
      </x:c>
      <x:c r="F22" s="125" t="n">
        <x:f>E22+Income_Statement!F22-Cash_Flow!F19</x:f>
        <x:v>23.928426020547946</x:v>
      </x:c>
    </x:row>
    <x:row r="23">
      <x:c r="A23" s="114" t="str">
        <x:v>Total Liabilities &amp; Equity</x:v>
      </x:c>
      <x:c r="B23" s="116" t="n">
        <x:f>B20+B22</x:f>
        <x:v>9.065753424657533</x:v>
      </x:c>
      <x:c r="C23" s="116" t="n">
        <x:f>C20+C22</x:f>
        <x:v>12.030321917808218</x:v>
      </x:c>
      <x:c r="D23" s="116" t="n">
        <x:f>D20+D22</x:f>
        <x:v>16.65750239726027</x:v>
      </x:c>
      <x:c r="E23" s="116" t="n">
        <x:f>E20+E22</x:f>
        <x:v>23.300063835616438</x:v>
      </x:c>
      <x:c r="F23" s="116" t="n">
        <x:f>F20+F22</x:f>
        <x:v>32.243842984931504</x:v>
      </x:c>
    </x:row>
    <x:row r="24">
      <x:c r="A24" s="35"/>
      <x:c r="B24" s="125"/>
      <x:c r="C24" s="125"/>
      <x:c r="D24" s="125"/>
      <x:c r="E24" s="125"/>
      <x:c r="F24" s="125"/>
    </x:row>
    <x:row r="25">
      <x:c r="A25" s="114" t="str">
        <x:v>Balance Check</x:v>
      </x:c>
      <x:c r="B25" s="134" t="n">
        <x:f>B11-B23</x:f>
        <x:v>0</x:v>
      </x:c>
      <x:c r="C25" s="134" t="n">
        <x:f>C11-C23</x:f>
        <x:v>1.7763568394002505e-15</x:v>
      </x:c>
      <x:c r="D25" s="134" t="n">
        <x:f>D11-D23</x:f>
        <x:v>3.552713678800501e-15</x:v>
      </x:c>
      <x:c r="E25" s="134" t="n">
        <x:f>E11-E23</x:f>
        <x:v>0</x:v>
      </x:c>
      <x:c r="F25" s="134" t="n">
        <x:f>F11-F23</x:f>
        <x:v>0</x:v>
      </x:c>
    </x:row>
    <x:row r="26">
      <x:c r="A26" s="35"/>
      <x:c r="B26" s="35"/>
      <x:c r="C26" s="35"/>
      <x:c r="D26" s="35"/>
      <x:c r="E26" s="35"/>
      <x:c r="F26" s="35"/>
    </x:row>
    <x:row r="27">
      <x:c r="A27" s="35"/>
      <x:c r="B27" s="35"/>
      <x:c r="C27" s="35"/>
      <x:c r="D27" s="35"/>
      <x:c r="E27" s="35"/>
      <x:c r="F27" s="35"/>
    </x:row>
    <x:row r="28">
      <x:c r="A28" s="35"/>
      <x:c r="B28" s="35"/>
      <x:c r="C28" s="35"/>
      <x:c r="D28" s="35"/>
      <x:c r="E28" s="35"/>
      <x:c r="F28" s="35"/>
    </x:row>
  </x:sheetData>
  <x:mergeCells>
    <x:mergeCell ref="A1:F1"/>
    <x:mergeCell ref="A2:F2"/>
  </x:mergeCells>
  <x:conditionalFormatting sqref="B25:F25">
    <x:cfRule type="expression" dxfId="0" priority="1">
      <x:formula>ABS(B25)&gt;0.001</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Cash Flow Statement</x:v>
      </x:c>
      <x:c r="B1" s="35"/>
      <x:c r="C1" s="35"/>
      <x:c r="D1" s="35"/>
      <x:c r="E1" s="35"/>
      <x:c r="F1" s="35"/>
    </x:row>
    <x:row r="2">
      <x:c r="A2" s="35" t="str">
        <x:v>Units: USD $mm</x:v>
      </x:c>
      <x:c r="B2" s="35"/>
      <x:c r="C2" s="35"/>
      <x:c r="D2" s="35"/>
      <x:c r="E2" s="35"/>
      <x:c r="F2" s="35"/>
    </x:row>
    <x:row r="3">
      <x:c r="A3" s="35"/>
      <x:c r="B3" s="35"/>
      <x:c r="C3" s="35"/>
      <x:c r="D3" s="35"/>
      <x:c r="E3" s="35"/>
      <x:c r="F3" s="35"/>
    </x:row>
    <x:row r="4">
      <x:c r="A4" s="59" t="str">
        <x:v>Metric</x:v>
      </x:c>
      <x:c r="B4" s="59" t="str">
        <x:v>2026A</x:v>
      </x:c>
      <x:c r="C4" s="59" t="str">
        <x:v>2027E</x:v>
      </x:c>
      <x:c r="D4" s="59" t="str">
        <x:v>2028E</x:v>
      </x:c>
      <x:c r="E4" s="59" t="str">
        <x:v>2029E</x:v>
      </x:c>
      <x:c r="F4" s="59" t="str">
        <x:v>2030E</x:v>
      </x:c>
    </x:row>
    <x:row r="5">
      <x:c r="A5" s="35" t="str">
        <x:v>Net Income</x:v>
      </x:c>
      <x:c r="B5" s="124" t="n">
        <x:f>Income_Statement!B22</x:f>
        <x:v>1.2750000000000004</x:v>
      </x:c>
      <x:c r="C5" s="124" t="n">
        <x:f>Income_Statement!C22</x:f>
        <x:v>2.6774999999999998</x:v>
      </x:c>
      <x:c r="D5" s="124" t="n">
        <x:f>Income_Statement!D22</x:f>
        <x:v>4.117874999999999</x:v>
      </x:c>
      <x:c r="E5" s="124" t="n">
        <x:f>Income_Statement!E22</x:f>
        <x:v>5.950725000000002</x:v>
      </x:c>
      <x:c r="F5" s="124" t="n">
        <x:f>Income_Statement!F22</x:f>
        <x:v>8.035531500000001</x:v>
      </x:c>
    </x:row>
    <x:row r="6">
      <x:c r="A6" s="35" t="str">
        <x:v>D&amp;A</x:v>
      </x:c>
      <x:c r="B6" s="124" t="n">
        <x:f>Income_Statement!B17</x:f>
        <x:v>0.4</x:v>
      </x:c>
      <x:c r="C6" s="124" t="n">
        <x:f>Income_Statement!C17</x:f>
        <x:v>0.5</x:v>
      </x:c>
      <x:c r="D6" s="124" t="n">
        <x:f>Income_Statement!D17</x:f>
        <x:v>0.622</x:v>
      </x:c>
      <x:c r="E6" s="124" t="n">
        <x:f>Income_Statement!E17</x:f>
        <x:v>0.7477</x:v>
      </x:c>
      <x:c r="F6" s="124" t="n">
        <x:f>Income_Statement!F17</x:f>
        <x:v>0.8774179999999999</x:v>
      </x:c>
    </x:row>
    <x:row r="7">
      <x:c r="A7" s="35"/>
      <x:c r="B7" s="125"/>
      <x:c r="C7" s="125"/>
      <x:c r="D7" s="125"/>
      <x:c r="E7" s="125"/>
      <x:c r="F7" s="125"/>
    </x:row>
    <x:row r="8">
      <x:c r="A8" s="35" t="str">
        <x:v>Change in A/R</x:v>
      </x:c>
      <x:c r="B8" s="124" t="n">
        <x:f>Actuals_Input!B29</x:f>
        <x:v>-0.3</x:v>
      </x:c>
      <x:c r="C8" s="125" t="n">
        <x:f>-(Balance_Sheet!C6-Balance_Sheet!B6)</x:f>
        <x:v>-0.47945205479452024</x:v>
      </x:c>
      <x:c r="D8" s="125" t="n">
        <x:f>-(Balance_Sheet!D6-Balance_Sheet!C6)</x:f>
        <x:v>-0.48082191780821937</x:v>
      </x:c>
      <x:c r="E8" s="125" t="n">
        <x:f>-(Balance_Sheet!E6-Balance_Sheet!D6)</x:f>
        <x:v>-0.5849315068493155</x:v>
      </x:c>
      <x:c r="F8" s="125" t="n">
        <x:f>-(Balance_Sheet!F6-Balance_Sheet!E6)</x:f>
        <x:v>-0.603649315068493</x:v>
      </x:c>
    </x:row>
    <x:row r="9">
      <x:c r="A9" s="35" t="str">
        <x:v>Change in Other Current Assets</x:v>
      </x:c>
      <x:c r="B9" s="124" t="n">
        <x:f>Actuals_Input!B30</x:f>
        <x:v>-0.1</x:v>
      </x:c>
      <x:c r="C9" s="125" t="n">
        <x:f>-(Balance_Sheet!C7-Balance_Sheet!B7)</x:f>
        <x:v>-0.15000000000000002</x:v>
      </x:c>
      <x:c r="D9" s="125" t="n">
        <x:f>-(Balance_Sheet!D7-Balance_Sheet!C7)</x:f>
        <x:v>-0.16499999999999992</x:v>
      </x:c>
      <x:c r="E9" s="125" t="n">
        <x:f>-(Balance_Sheet!E7-Balance_Sheet!D7)</x:f>
        <x:v>-0.18300000000000016</x:v>
      </x:c>
      <x:c r="F9" s="125" t="n">
        <x:f>-(Balance_Sheet!F7-Balance_Sheet!E7)</x:f>
        <x:v>-0.19764000000000004</x:v>
      </x:c>
    </x:row>
    <x:row r="10">
      <x:c r="A10" s="35" t="str">
        <x:v>Change in A/P</x:v>
      </x:c>
      <x:c r="B10" s="124" t="n">
        <x:f>Actuals_Input!B31</x:f>
        <x:v>0.05</x:v>
      </x:c>
      <x:c r="C10" s="125" t="n">
        <x:f>Balance_Sheet!C14-Balance_Sheet!B14</x:f>
        <x:v>0.1150684931506849</x:v>
      </x:c>
      <x:c r="D10" s="125" t="n">
        <x:f>Balance_Sheet!D14-Balance_Sheet!C14</x:f>
        <x:v>0.10820547945205483</x:v>
      </x:c>
      <x:c r="E10" s="125" t="n">
        <x:f>Balance_Sheet!E14-Balance_Sheet!D14</x:f>
        <x:v>0.1158164383561644</x:v>
      </x:c>
      <x:c r="F10" s="125" t="n">
        <x:f>Balance_Sheet!F14-Balance_Sheet!E14</x:f>
        <x:v>0.1196268493150684</x:v>
      </x:c>
    </x:row>
    <x:row r="11">
      <x:c r="A11" s="35" t="str">
        <x:v>Change in Accrued Expenses</x:v>
      </x:c>
      <x:c r="B11" s="124" t="n">
        <x:f>Actuals_Input!B32</x:f>
        <x:v>0.1</x:v>
      </x:c>
      <x:c r="C11" s="125" t="n">
        <x:f>Balance_Sheet!C15-Balance_Sheet!B15</x:f>
        <x:v>0.17199999999999993</x:v>
      </x:c>
      <x:c r="D11" s="125" t="n">
        <x:f>Balance_Sheet!D15-Balance_Sheet!C15</x:f>
        <x:v>0.19860000000000033</x:v>
      </x:c>
      <x:c r="E11" s="125" t="n">
        <x:f>Balance_Sheet!E15-Balance_Sheet!D15</x:f>
        <x:v>0.2025199999999998</x:v>
      </x:c>
      <x:c r="F11" s="125" t="n">
        <x:f>Balance_Sheet!F15-Balance_Sheet!E15</x:f>
        <x:v>0.21550080000000005</x:v>
      </x:c>
    </x:row>
    <x:row r="12">
      <x:c r="A12" s="35" t="str">
        <x:v>Change in Deferred Revenue</x:v>
      </x:c>
      <x:c r="B12" s="124" t="n">
        <x:f>Actuals_Input!B33</x:f>
        <x:v>0.2</x:v>
      </x:c>
      <x:c r="C12" s="125" t="n">
        <x:f>Balance_Sheet!C16-Balance_Sheet!B16</x:f>
        <x:v>0.5</x:v>
      </x:c>
      <x:c r="D12" s="125" t="n">
        <x:f>Balance_Sheet!D16-Balance_Sheet!C16</x:f>
        <x:v>0.7024999999999997</x:v>
      </x:c>
      <x:c r="E12" s="125" t="n">
        <x:f>Balance_Sheet!E16-Balance_Sheet!D16</x:f>
        <x:v>0.8235000000000001</x:v>
      </x:c>
      <x:c r="F12" s="125" t="n">
        <x:f>Balance_Sheet!F16-Balance_Sheet!E16</x:f>
        <x:v>0.9406200000000009</x:v>
      </x:c>
    </x:row>
    <x:row r="13">
      <x:c r="A13" s="114" t="str">
        <x:v>Cash Flow from Operations</x:v>
      </x:c>
      <x:c r="B13" s="116" t="n">
        <x:f>SUM(B5:B6,B8:B12)</x:f>
        <x:v>1.6250000000000002</x:v>
      </x:c>
      <x:c r="C13" s="116" t="n">
        <x:f>SUM(C5:C6,C8:C12)</x:f>
        <x:v>3.3351164383561644</x:v>
      </x:c>
      <x:c r="D13" s="116" t="n">
        <x:f>SUM(D5:D6,D8:D12)</x:f>
        <x:v>5.103358561643835</x:v>
      </x:c>
      <x:c r="E13" s="116" t="n">
        <x:f>SUM(E5:E6,E8:E12)</x:f>
        <x:v>7.072329931506851</x:v>
      </x:c>
      <x:c r="F13" s="116" t="n">
        <x:f>SUM(F5:F6,F8:F12)</x:f>
        <x:v>9.387407834246577</x:v>
      </x:c>
    </x:row>
    <x:row r="14">
      <x:c r="A14" s="35"/>
      <x:c r="B14" s="125"/>
      <x:c r="C14" s="125"/>
      <x:c r="D14" s="125"/>
      <x:c r="E14" s="125"/>
      <x:c r="F14" s="125"/>
    </x:row>
    <x:row r="15">
      <x:c r="A15" s="35" t="str">
        <x:v>Capex</x:v>
      </x:c>
      <x:c r="B15" s="124" t="n">
        <x:f>Actuals_Input!B34</x:f>
        <x:v>-0.5</x:v>
      </x:c>
      <x:c r="C15" s="125" t="n">
        <x:f>-Income_Statement!C5*Assumptions!B17</x:f>
        <x:v>-1</x:v>
      </x:c>
      <x:c r="D15" s="125" t="n">
        <x:f>-Income_Statement!D5*Assumptions!C17</x:f>
        <x:v>-1.22</x:v>
      </x:c>
      <x:c r="E15" s="125" t="n">
        <x:f>-Income_Statement!E5*Assumptions!D17</x:f>
        <x:v>-1.2810000000000001</x:v>
      </x:c>
      <x:c r="F15" s="125" t="n">
        <x:f>-Income_Statement!F5*Assumptions!E17</x:f>
        <x:v>-1.5115800000000001</x:v>
      </x:c>
    </x:row>
    <x:row r="16">
      <x:c r="A16" s="114" t="str">
        <x:v>Cash Flow from Investing</x:v>
      </x:c>
      <x:c r="B16" s="116" t="n">
        <x:f>B15</x:f>
        <x:v>-0.5</x:v>
      </x:c>
      <x:c r="C16" s="116" t="n">
        <x:f>C15</x:f>
        <x:v>-1</x:v>
      </x:c>
      <x:c r="D16" s="116" t="n">
        <x:f>D15</x:f>
        <x:v>-1.22</x:v>
      </x:c>
      <x:c r="E16" s="116" t="n">
        <x:f>E15</x:f>
        <x:v>-1.2810000000000001</x:v>
      </x:c>
      <x:c r="F16" s="116" t="n">
        <x:f>F15</x:f>
        <x:v>-1.5115800000000001</x:v>
      </x:c>
    </x:row>
    <x:row r="17">
      <x:c r="A17" s="35"/>
      <x:c r="B17" s="125"/>
      <x:c r="C17" s="125"/>
      <x:c r="D17" s="125"/>
      <x:c r="E17" s="125"/>
      <x:c r="F17" s="125"/>
    </x:row>
    <x:row r="18">
      <x:c r="A18" s="35" t="str">
        <x:v>Debt Repayment</x:v>
      </x:c>
      <x:c r="B18" s="124" t="n">
        <x:f>Actuals_Input!B35</x:f>
        <x:v>-0.4</x:v>
      </x:c>
      <x:c r="C18" s="125" t="n">
        <x:f>-(Balance_Sheet!B19-Balance_Sheet!C19)</x:f>
        <x:v>-0.5</x:v>
      </x:c>
      <x:c r="D18" s="125" t="n">
        <x:f>-(Balance_Sheet!C19-Balance_Sheet!D19)</x:f>
        <x:v>-0.5</x:v>
      </x:c>
      <x:c r="E18" s="125" t="n">
        <x:f>-(Balance_Sheet!D19-Balance_Sheet!E19)</x:f>
        <x:v>-0.4500000000000002</x:v>
      </x:c>
      <x:c r="F18" s="125" t="n">
        <x:f>-(Balance_Sheet!E19-Balance_Sheet!F19)</x:f>
        <x:v>-0.36749999999999994</x:v>
      </x:c>
    </x:row>
    <x:row r="19">
      <x:c r="A19" s="35" t="str">
        <x:v>Dividends</x:v>
      </x:c>
      <x:c r="B19" s="124" t="n">
        <x:f>Actuals_Input!B36</x:f>
        <x:v>0</x:v>
      </x:c>
      <x:c r="C19" s="125" t="n">
        <x:f>-MAX(0,Income_Statement!C22*Assumptions!B23)</x:f>
        <x:v>0</x:v>
      </x:c>
      <x:c r="D19" s="125" t="n">
        <x:f>-MAX(0,Income_Statement!D22*Assumptions!C23)</x:f>
        <x:v>0</x:v>
      </x:c>
      <x:c r="E19" s="125" t="n">
        <x:f>-MAX(0,Income_Statement!E22*Assumptions!D23)</x:f>
        <x:v>0</x:v>
      </x:c>
      <x:c r="F19" s="125" t="n">
        <x:f>-MAX(0,Income_Statement!F22*Assumptions!E23)</x:f>
        <x:v>0</x:v>
      </x:c>
    </x:row>
    <x:row r="20">
      <x:c r="A20" s="114" t="str">
        <x:v>Cash Flow from Financing</x:v>
      </x:c>
      <x:c r="B20" s="116" t="n">
        <x:f>SUM(B18:B19)</x:f>
        <x:v>-0.4</x:v>
      </x:c>
      <x:c r="C20" s="116" t="n">
        <x:f>SUM(C18:C19)</x:f>
        <x:v>-0.5</x:v>
      </x:c>
      <x:c r="D20" s="116" t="n">
        <x:f>SUM(D18:D19)</x:f>
        <x:v>-0.5</x:v>
      </x:c>
      <x:c r="E20" s="116" t="n">
        <x:f>SUM(E18:E19)</x:f>
        <x:v>-0.4500000000000002</x:v>
      </x:c>
      <x:c r="F20" s="116" t="n">
        <x:f>SUM(F18:F19)</x:f>
        <x:v>-0.36749999999999994</x:v>
      </x:c>
    </x:row>
    <x:row r="21">
      <x:c r="A21" s="35"/>
      <x:c r="B21" s="125"/>
      <x:c r="C21" s="125"/>
      <x:c r="D21" s="125"/>
      <x:c r="E21" s="125"/>
      <x:c r="F21" s="125"/>
    </x:row>
    <x:row r="22">
      <x:c r="A22" s="114" t="str">
        <x:v>Net Change in Cash</x:v>
      </x:c>
      <x:c r="B22" s="116" t="n">
        <x:f>SUM(B13,B16,B20)</x:f>
        <x:v>0.7250000000000002</x:v>
      </x:c>
      <x:c r="C22" s="116" t="n">
        <x:f>SUM(C13,C16,C20)</x:f>
        <x:v>1.8351164383561644</x:v>
      </x:c>
      <x:c r="D22" s="116" t="n">
        <x:f>SUM(D13,D16,D20)</x:f>
        <x:v>3.383358561643835</x:v>
      </x:c>
      <x:c r="E22" s="116" t="n">
        <x:f>SUM(E13,E16,E20)</x:f>
        <x:v>5.341329931506851</x:v>
      </x:c>
      <x:c r="F22" s="116" t="n">
        <x:f>SUM(F13,F16,F20)</x:f>
        <x:v>7.508327834246577</x:v>
      </x:c>
    </x:row>
    <x:row r="23">
      <x:c r="A23" s="35" t="str">
        <x:v>Beginning Cash</x:v>
      </x:c>
      <x:c r="B23" s="124" t="n">
        <x:f>Actuals_Input!B37</x:f>
        <x:v>3.275</x:v>
      </x:c>
      <x:c r="C23" s="125" t="n">
        <x:f>Balance_Sheet!B5</x:f>
        <x:v>4</x:v>
      </x:c>
      <x:c r="D23" s="125" t="n">
        <x:f>Balance_Sheet!C5</x:f>
        <x:v>5.835116438356165</x:v>
      </x:c>
      <x:c r="E23" s="125" t="n">
        <x:f>Balance_Sheet!D5</x:f>
        <x:v>9.218475</x:v>
      </x:c>
      <x:c r="F23" s="125" t="n">
        <x:f>Balance_Sheet!E5</x:f>
        <x:v>14.55980493150685</x:v>
      </x:c>
    </x:row>
    <x:row r="24">
      <x:c r="A24" s="114" t="str">
        <x:v>Ending Cash</x:v>
      </x:c>
      <x:c r="B24" s="116" t="n">
        <x:f>B23+B22</x:f>
        <x:v>4</x:v>
      </x:c>
      <x:c r="C24" s="116" t="n">
        <x:f>C23+C22</x:f>
        <x:v>5.835116438356165</x:v>
      </x:c>
      <x:c r="D24" s="116" t="n">
        <x:f>D23+D22</x:f>
        <x:v>9.218475</x:v>
      </x:c>
      <x:c r="E24" s="116" t="n">
        <x:f>E23+E22</x:f>
        <x:v>14.55980493150685</x:v>
      </x:c>
      <x:c r="F24" s="116" t="n">
        <x:f>F23+F22</x:f>
        <x:v>22.068132765753425</x:v>
      </x:c>
    </x:row>
    <x:row r="25">
      <x:c r="A25" s="114" t="str">
        <x:v>Free Cash Flow</x:v>
      </x:c>
      <x:c r="B25" s="116" t="n">
        <x:f>B13+B16</x:f>
        <x:v>1.1250000000000002</x:v>
      </x:c>
      <x:c r="C25" s="116" t="n">
        <x:f>C13+C16</x:f>
        <x:v>2.3351164383561644</x:v>
      </x:c>
      <x:c r="D25" s="116" t="n">
        <x:f>D13+D16</x:f>
        <x:v>3.883358561643835</x:v>
      </x:c>
      <x:c r="E25" s="116" t="n">
        <x:f>E13+E16</x:f>
        <x:v>5.791329931506851</x:v>
      </x:c>
      <x:c r="F25" s="116" t="n">
        <x:f>F13+F16</x:f>
        <x:v>7.875827834246577</x:v>
      </x:c>
    </x:row>
    <x:row r="26">
      <x:c r="A26" s="35"/>
      <x:c r="B26" s="35"/>
      <x:c r="C26" s="35"/>
      <x:c r="D26" s="35"/>
      <x:c r="E26" s="35"/>
      <x:c r="F26" s="35"/>
    </x:row>
    <x:row r="27">
      <x:c r="A27" s="35"/>
      <x:c r="B27" s="35"/>
      <x:c r="C27" s="35"/>
      <x:c r="D27" s="35"/>
      <x:c r="E27" s="35"/>
      <x:c r="F27" s="35"/>
    </x:row>
    <x:row r="28">
      <x:c r="A28" s="35"/>
      <x:c r="B28" s="35"/>
      <x:c r="C28" s="35"/>
      <x:c r="D28" s="35"/>
      <x:c r="E28" s="35"/>
      <x:c r="F28" s="35"/>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4" hidden="0" customWidth="1"/>
    <x:col min="5" max="5" width="14" hidden="0" customWidth="1"/>
    <x:col min="6" max="6" width="14" hidden="0" customWidth="1"/>
  </x:cols>
  <x:sheetData>
    <x:row r="1" ht="26" customHeight="1">
      <x:c r="A1" s="34" t="str">
        <x:v>Model Integrity Checks | v1.5.1 Release Controls</x:v>
      </x:c>
      <x:c r="B1" s="35"/>
      <x:c r="C1" s="35"/>
      <x:c r="D1" s="35"/>
      <x:c r="E1" s="35"/>
      <x:c r="F1" s="35"/>
    </x:row>
    <x:row r="2">
      <x:c r="A2" s="35"/>
      <x:c r="B2" s="35"/>
      <x:c r="C2" s="35"/>
      <x:c r="D2" s="35"/>
      <x:c r="E2" s="35"/>
      <x:c r="F2" s="35"/>
    </x:row>
    <x:row r="3">
      <x:c r="A3" s="59" t="str">
        <x:v>Check</x:v>
      </x:c>
      <x:c r="B3" s="59" t="str">
        <x:v>2026A</x:v>
      </x:c>
      <x:c r="C3" s="59" t="str">
        <x:v>2027E</x:v>
      </x:c>
      <x:c r="D3" s="59" t="str">
        <x:v>2028E</x:v>
      </x:c>
      <x:c r="E3" s="59" t="str">
        <x:v>2029E</x:v>
      </x:c>
      <x:c r="F3" s="59" t="str">
        <x:v>2030E</x:v>
      </x:c>
    </x:row>
    <x:row r="4">
      <x:c r="A4" s="35" t="str">
        <x:v>Balance Sheet Check</x:v>
      </x:c>
      <x:c r="B4" s="136" t="n">
        <x:f>Balance_Sheet!B25</x:f>
        <x:v>0</x:v>
      </x:c>
      <x:c r="C4" s="136" t="n">
        <x:f>Balance_Sheet!C25</x:f>
        <x:v>1.7763568394002505e-15</x:v>
      </x:c>
      <x:c r="D4" s="136" t="n">
        <x:f>Balance_Sheet!D25</x:f>
        <x:v>3.552713678800501e-15</x:v>
      </x:c>
      <x:c r="E4" s="136" t="n">
        <x:f>Balance_Sheet!E25</x:f>
        <x:v>0</x:v>
      </x:c>
      <x:c r="F4" s="136" t="n">
        <x:f>Balance_Sheet!F25</x:f>
        <x:v>0</x:v>
      </x:c>
    </x:row>
    <x:row r="5">
      <x:c r="A5" s="35" t="str">
        <x:v>Cash Tie Check</x:v>
      </x:c>
      <x:c r="B5" s="136" t="n">
        <x:f>Balance_Sheet!B5-Cash_Flow!B24</x:f>
        <x:v>0</x:v>
      </x:c>
      <x:c r="C5" s="136" t="n">
        <x:f>Balance_Sheet!C5-Cash_Flow!C24</x:f>
        <x:v>0</x:v>
      </x:c>
      <x:c r="D5" s="136" t="n">
        <x:f>Balance_Sheet!D5-Cash_Flow!D24</x:f>
        <x:v>0</x:v>
      </x:c>
      <x:c r="E5" s="136" t="n">
        <x:f>Balance_Sheet!E5-Cash_Flow!E24</x:f>
        <x:v>0</x:v>
      </x:c>
      <x:c r="F5" s="136" t="n">
        <x:f>Balance_Sheet!F5-Cash_Flow!F24</x:f>
        <x:v>0</x:v>
      </x:c>
    </x:row>
    <x:row r="6">
      <x:c r="A6" s="35" t="str">
        <x:v>Equity Roll-Forward Check</x:v>
      </x:c>
      <x:c r="B6" s="136" t="n">
        <x:v>0</x:v>
      </x:c>
      <x:c r="C6" s="136" t="n">
        <x:f>Balance_Sheet!C22-(Balance_Sheet!B22+Income_Statement!C22-Cash_Flow!C19)</x:f>
        <x:v>0</x:v>
      </x:c>
      <x:c r="D6" s="136" t="n">
        <x:f>Balance_Sheet!D22-(Balance_Sheet!C22+Income_Statement!D22-Cash_Flow!D19)</x:f>
        <x:v>0</x:v>
      </x:c>
      <x:c r="E6" s="136" t="n">
        <x:f>Balance_Sheet!E22-(Balance_Sheet!D22+Income_Statement!E22-Cash_Flow!E19)</x:f>
        <x:v>0</x:v>
      </x:c>
      <x:c r="F6" s="136" t="n">
        <x:f>Balance_Sheet!F22-(Balance_Sheet!E22+Income_Statement!F22-Cash_Flow!F19)</x:f>
        <x:v>0</x:v>
      </x:c>
    </x:row>
    <x:row r="7">
      <x:c r="A7" s="35" t="str">
        <x:v>Overall Status</x:v>
      </x:c>
      <x:c r="B7" s="550" t="str">
        <x:f>IF(MAX(ABS(B4),ABS(B5),ABS(B6))&lt;0.001,"OK","CHECK")</x:f>
        <x:v>OK</x:v>
      </x:c>
      <x:c r="C7" s="550" t="str">
        <x:f>IF(MAX(ABS(C4),ABS(C5),ABS(C6))&lt;0.001,"OK","CHECK")</x:f>
        <x:v>OK</x:v>
      </x:c>
      <x:c r="D7" s="550" t="str">
        <x:f>IF(MAX(ABS(D4),ABS(D5),ABS(D6))&lt;0.001,"OK","CHECK")</x:f>
        <x:v>OK</x:v>
      </x:c>
      <x:c r="E7" s="550" t="str">
        <x:f>IF(MAX(ABS(E4),ABS(E5),ABS(E6))&lt;0.001,"OK","CHECK")</x:f>
        <x:v>OK</x:v>
      </x:c>
      <x:c r="F7" s="550" t="str">
        <x:f>IF(MAX(ABS(F4),ABS(F5),ABS(F6))&lt;0.001,"OK","CHECK")</x:f>
        <x:v>OK</x:v>
      </x:c>
    </x:row>
    <x:row r="8">
      <x:c r="A8" s="35"/>
      <x:c r="B8" s="35"/>
      <x:c r="C8" s="35"/>
      <x:c r="D8" s="35"/>
      <x:c r="E8" s="35"/>
      <x:c r="F8" s="35"/>
    </x:row>
    <x:row r="9">
      <x:c r="A9" s="35"/>
      <x:c r="B9" s="35"/>
      <x:c r="C9" s="35"/>
      <x:c r="D9" s="35"/>
      <x:c r="E9" s="35"/>
      <x:c r="F9" s="35"/>
    </x:row>
    <x:row r="10">
      <x:c r="A10" s="35"/>
      <x:c r="B10" s="35"/>
      <x:c r="C10" s="35"/>
      <x:c r="D10" s="35"/>
      <x:c r="E10" s="35"/>
      <x:c r="F10" s="35"/>
    </x:row>
  </x:sheetData>
  <x:mergeCells>
    <x:mergeCell ref="A1:F1"/>
  </x:mergeCells>
  <x:conditionalFormatting sqref="B7:F7">
    <x:cfRule type="expression" dxfId="1" priority="1">
      <x:formula>B7="CHECK"</x:formula>
    </x:cfRule>
    <x:cfRule type="expression" dxfId="2" priority="2">
      <x:formula>B7="OK"</x:formula>
    </x:cfRule>
    <x:cfRule type="expression" dxfId="52" priority="3">
      <x:formula>B7="OK"</x:formula>
    </x:cfRule>
    <x:cfRule type="expression" dxfId="53" priority="4">
      <x:formula>AND(B7&lt;&gt;"",B7&lt;&gt;"OK")</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26" customHeight="1">
      <x:c r="A1" s="34" t="str">
        <x:v>Executive FP&amp;A Dashboard | Long-Range Scenario Outlook | v1.5.1</x:v>
      </x:c>
      <x:c r="B1" s="35"/>
      <x:c r="C1" s="35"/>
      <x:c r="D1" s="35"/>
      <x:c r="E1" s="35"/>
      <x:c r="F1" s="35"/>
      <x:c r="G1" s="35"/>
      <x:c r="H1" s="35"/>
      <x:c r="I1" s="35"/>
      <x:c r="J1" s="35"/>
      <x:c r="M1" s="444"/>
      <x:c r="N1" s="444"/>
      <x:c r="O1" s="444"/>
      <x:c r="P1" s="444"/>
      <x:c r="Q1" s="444"/>
      <x:c r="R1" s="444"/>
    </x:row>
    <x:row r="2">
      <x:c r="A2" s="58" t="str">
        <x:v>Scenario-driven summary | Synthetic SaaS company | Units: USD $mm | Portfolio release</x:v>
      </x:c>
      <x:c r="B2" s="35"/>
      <x:c r="C2" s="35"/>
      <x:c r="D2" s="35"/>
      <x:c r="E2" s="35"/>
      <x:c r="F2" s="35"/>
      <x:c r="G2" s="35"/>
      <x:c r="H2" s="35"/>
      <x:c r="I2" s="35"/>
      <x:c r="J2" s="35"/>
      <x:c r="M2" s="444" t="str">
        <x:v>Metric</x:v>
      </x:c>
      <x:c r="N2" s="444" t="str">
        <x:v>2026A</x:v>
      </x:c>
      <x:c r="O2" s="444" t="str">
        <x:v>2027E</x:v>
      </x:c>
      <x:c r="P2" s="444" t="str">
        <x:v>2028E</x:v>
      </x:c>
      <x:c r="Q2" s="444" t="str">
        <x:v>2029E</x:v>
      </x:c>
      <x:c r="R2" s="444" t="str">
        <x:v>2030E</x:v>
      </x:c>
    </x:row>
    <x:row r="3">
      <x:c r="A3" s="35"/>
      <x:c r="B3" s="35"/>
      <x:c r="C3" s="35"/>
      <x:c r="D3" s="35"/>
      <x:c r="E3" s="35"/>
      <x:c r="F3" s="35"/>
      <x:c r="G3" s="35"/>
      <x:c r="H3" s="35"/>
      <x:c r="I3" s="35"/>
      <x:c r="J3" s="35"/>
      <x:c r="M3" s="444" t="str">
        <x:v>Ending Cash</x:v>
      </x:c>
      <x:c r="N3" s="444" t="n">
        <x:f>Balance_Sheet!B5</x:f>
        <x:v>4</x:v>
      </x:c>
      <x:c r="O3" s="444" t="n">
        <x:f>Balance_Sheet!C5</x:f>
        <x:v>5.835116438356165</x:v>
      </x:c>
      <x:c r="P3" s="444" t="n">
        <x:f>Balance_Sheet!D5</x:f>
        <x:v>9.218475</x:v>
      </x:c>
      <x:c r="Q3" s="444" t="n">
        <x:f>Balance_Sheet!E5</x:f>
        <x:v>14.55980493150685</x:v>
      </x:c>
      <x:c r="R3" s="444" t="n">
        <x:f>Balance_Sheet!F5</x:f>
        <x:v>22.068132765753425</x:v>
      </x:c>
    </x:row>
    <x:row r="4">
      <x:c r="A4" s="156" t="str">
        <x:v>Scenario</x:v>
      </x:c>
      <x:c r="B4" s="35"/>
      <x:c r="C4" s="35"/>
      <x:c r="D4" s="156" t="str">
        <x:v>2030 Revenue</x:v>
      </x:c>
      <x:c r="E4" s="35"/>
      <x:c r="F4" s="35"/>
      <x:c r="G4" s="156" t="str">
        <x:v>2030 EBITDA Margin</x:v>
      </x:c>
      <x:c r="H4" s="35"/>
      <x:c r="I4" s="156" t="str">
        <x:v>2030 Ending Cash</x:v>
      </x:c>
      <x:c r="J4" s="35"/>
      <x:c r="M4" s="444" t="str">
        <x:v>Free Cash Flow</x:v>
      </x:c>
      <x:c r="N4" s="444" t="n">
        <x:f>Cash_Flow!B25</x:f>
        <x:v>1.1250000000000002</x:v>
      </x:c>
      <x:c r="O4" s="444" t="n">
        <x:f>Cash_Flow!C25</x:f>
        <x:v>2.3351164383561644</x:v>
      </x:c>
      <x:c r="P4" s="444" t="n">
        <x:f>Cash_Flow!D25</x:f>
        <x:v>3.883358561643835</x:v>
      </x:c>
      <x:c r="Q4" s="444" t="n">
        <x:f>Cash_Flow!E25</x:f>
        <x:v>5.791329931506851</x:v>
      </x:c>
      <x:c r="R4" s="444" t="n">
        <x:f>Cash_Flow!F25</x:f>
        <x:v>7.875827834246577</x:v>
      </x:c>
    </x:row>
    <x:row r="5">
      <x:c r="A5" s="157" t="str">
        <x:f>Assumptions!B3</x:f>
        <x:v>Base</x:v>
      </x:c>
      <x:c r="B5" s="35"/>
      <x:c r="C5" s="35"/>
      <x:c r="D5" s="158" t="n">
        <x:f>Income_Statement!F5</x:f>
        <x:v>43.188</x:v>
      </x:c>
      <x:c r="E5" s="35"/>
      <x:c r="F5" s="35"/>
      <x:c r="G5" s="159" t="n">
        <x:f>Income_Statement!F15</x:f>
        <x:v>0.2700000000000001</x:v>
      </x:c>
      <x:c r="H5" s="35"/>
      <x:c r="I5" s="158" t="n">
        <x:f>Balance_Sheet!F5</x:f>
        <x:v>22.068132765753425</x:v>
      </x:c>
      <x:c r="J5" s="35"/>
      <x:c r="M5" s="444"/>
      <x:c r="N5" s="444"/>
      <x:c r="O5" s="444"/>
      <x:c r="P5" s="444"/>
      <x:c r="Q5" s="444"/>
      <x:c r="R5" s="444"/>
    </x:row>
    <x:row r="6">
      <x:c r="A6" s="35"/>
      <x:c r="B6" s="35"/>
      <x:c r="C6" s="35"/>
      <x:c r="D6" s="35"/>
      <x:c r="E6" s="35"/>
      <x:c r="F6" s="35"/>
      <x:c r="G6" s="35"/>
      <x:c r="H6" s="35"/>
      <x:c r="I6" s="35"/>
      <x:c r="J6" s="35"/>
      <x:c r="M6" s="444"/>
      <x:c r="N6" s="444"/>
      <x:c r="O6" s="444"/>
      <x:c r="P6" s="444"/>
      <x:c r="Q6" s="444"/>
      <x:c r="R6" s="444"/>
    </x:row>
    <x:row r="7">
      <x:c r="A7" s="35"/>
      <x:c r="B7" s="35"/>
      <x:c r="C7" s="35"/>
      <x:c r="D7" s="35"/>
      <x:c r="E7" s="35"/>
      <x:c r="F7" s="35"/>
      <x:c r="G7" s="35"/>
      <x:c r="H7" s="35"/>
      <x:c r="I7" s="35"/>
      <x:c r="J7" s="35"/>
      <x:c r="M7" s="444"/>
      <x:c r="N7" s="444"/>
      <x:c r="O7" s="444"/>
      <x:c r="P7" s="444"/>
      <x:c r="Q7" s="444"/>
      <x:c r="R7" s="444"/>
    </x:row>
    <x:row r="8">
      <x:c r="A8" s="38" t="str">
        <x:v>Trend Data</x:v>
      </x:c>
      <x:c r="B8" s="35"/>
      <x:c r="C8" s="35"/>
      <x:c r="D8" s="35"/>
      <x:c r="E8" s="35"/>
      <x:c r="F8" s="35"/>
      <x:c r="G8" s="35"/>
      <x:c r="H8" s="35"/>
      <x:c r="I8" s="35"/>
      <x:c r="J8" s="35"/>
      <x:c r="M8" s="444"/>
      <x:c r="N8" s="444"/>
      <x:c r="O8" s="444"/>
      <x:c r="P8" s="444"/>
      <x:c r="Q8" s="444"/>
      <x:c r="R8" s="444"/>
    </x:row>
    <x:row r="9">
      <x:c r="A9" s="59" t="str">
        <x:v>Metric</x:v>
      </x:c>
      <x:c r="B9" s="59" t="str">
        <x:v>2026A</x:v>
      </x:c>
      <x:c r="C9" s="59" t="str">
        <x:v>2027E</x:v>
      </x:c>
      <x:c r="D9" s="59" t="str">
        <x:v>2028E</x:v>
      </x:c>
      <x:c r="E9" s="59" t="str">
        <x:v>2029E</x:v>
      </x:c>
      <x:c r="F9" s="59" t="str">
        <x:v>2030E</x:v>
      </x:c>
      <x:c r="G9" s="35"/>
      <x:c r="H9" s="35"/>
      <x:c r="I9" s="35"/>
      <x:c r="J9" s="35"/>
      <x:c r="M9" s="444"/>
      <x:c r="N9" s="444"/>
      <x:c r="O9" s="444"/>
      <x:c r="P9" s="444"/>
      <x:c r="Q9" s="444"/>
      <x:c r="R9" s="444"/>
    </x:row>
    <x:row r="10">
      <x:c r="A10" s="35" t="str">
        <x:v>Revenue</x:v>
      </x:c>
      <x:c r="B10" s="125" t="n">
        <x:f>Income_Statement!B5</x:f>
        <x:v>20</x:v>
      </x:c>
      <x:c r="C10" s="125" t="n">
        <x:f>Income_Statement!C5</x:f>
        <x:v>25</x:v>
      </x:c>
      <x:c r="D10" s="125" t="n">
        <x:f>Income_Statement!D5</x:f>
        <x:v>30.5</x:v>
      </x:c>
      <x:c r="E10" s="125" t="n">
        <x:f>Income_Statement!E5</x:f>
        <x:v>36.6</x:v>
      </x:c>
      <x:c r="F10" s="125" t="n">
        <x:f>Income_Statement!F5</x:f>
        <x:v>43.188</x:v>
      </x:c>
      <x:c r="G10" s="35"/>
      <x:c r="H10" s="35"/>
      <x:c r="I10" s="35"/>
      <x:c r="J10" s="35"/>
      <x:c r="M10" s="444"/>
      <x:c r="N10" s="444"/>
      <x:c r="O10" s="444"/>
      <x:c r="P10" s="444"/>
      <x:c r="Q10" s="444"/>
      <x:c r="R10" s="444"/>
    </x:row>
    <x:row r="11">
      <x:c r="A11" s="35" t="str">
        <x:v>EBITDA</x:v>
      </x:c>
      <x:c r="B11" s="125" t="n">
        <x:f>Income_Statement!B14</x:f>
        <x:v>2.4000000000000004</x:v>
      </x:c>
      <x:c r="C11" s="125" t="n">
        <x:f>Income_Statement!C14</x:f>
        <x:v>4.25</x:v>
      </x:c>
      <x:c r="D11" s="125" t="n">
        <x:f>Income_Statement!D14</x:f>
        <x:v>6.252499999999998</x:v>
      </x:c>
      <x:c r="E11" s="125" t="n">
        <x:f>Income_Statement!E14</x:f>
        <x:v>8.784000000000002</x:v>
      </x:c>
      <x:c r="F11" s="125" t="n">
        <x:f>Income_Statement!F14</x:f>
        <x:v>11.660760000000003</x:v>
      </x:c>
      <x:c r="G11" s="35"/>
      <x:c r="H11" s="35"/>
      <x:c r="I11" s="35"/>
      <x:c r="J11" s="35"/>
      <x:c r="M11" s="444"/>
      <x:c r="N11" s="444"/>
      <x:c r="O11" s="444"/>
      <x:c r="P11" s="444"/>
      <x:c r="Q11" s="444"/>
      <x:c r="R11" s="444"/>
    </x:row>
    <x:row r="12">
      <x:c r="A12" s="35" t="str">
        <x:v>Ending Cash</x:v>
      </x:c>
      <x:c r="B12" s="125" t="n">
        <x:f>Balance_Sheet!B5</x:f>
        <x:v>4</x:v>
      </x:c>
      <x:c r="C12" s="125" t="n">
        <x:f>Balance_Sheet!C5</x:f>
        <x:v>5.835116438356165</x:v>
      </x:c>
      <x:c r="D12" s="125" t="n">
        <x:f>Balance_Sheet!D5</x:f>
        <x:v>9.218475</x:v>
      </x:c>
      <x:c r="E12" s="125" t="n">
        <x:f>Balance_Sheet!E5</x:f>
        <x:v>14.55980493150685</x:v>
      </x:c>
      <x:c r="F12" s="125" t="n">
        <x:f>Balance_Sheet!F5</x:f>
        <x:v>22.068132765753425</x:v>
      </x:c>
      <x:c r="G12" s="35"/>
      <x:c r="H12" s="35"/>
      <x:c r="I12" s="35"/>
      <x:c r="J12" s="35"/>
      <x:c r="M12" s="444"/>
      <x:c r="N12" s="444"/>
      <x:c r="O12" s="444"/>
      <x:c r="P12" s="444"/>
      <x:c r="Q12" s="444"/>
      <x:c r="R12" s="444"/>
    </x:row>
    <x:row r="13">
      <x:c r="A13" s="35" t="str">
        <x:v>Free Cash Flow</x:v>
      </x:c>
      <x:c r="B13" s="125" t="n">
        <x:f>Cash_Flow!B25</x:f>
        <x:v>1.1250000000000002</x:v>
      </x:c>
      <x:c r="C13" s="125" t="n">
        <x:f>Cash_Flow!C25</x:f>
        <x:v>2.3351164383561644</x:v>
      </x:c>
      <x:c r="D13" s="125" t="n">
        <x:f>Cash_Flow!D25</x:f>
        <x:v>3.883358561643835</x:v>
      </x:c>
      <x:c r="E13" s="125" t="n">
        <x:f>Cash_Flow!E25</x:f>
        <x:v>5.791329931506851</x:v>
      </x:c>
      <x:c r="F13" s="125" t="n">
        <x:f>Cash_Flow!F25</x:f>
        <x:v>7.875827834246577</x:v>
      </x:c>
      <x:c r="G13" s="35"/>
      <x:c r="H13" s="35"/>
      <x:c r="I13" s="35"/>
      <x:c r="J13" s="35"/>
      <x:c r="M13" s="444"/>
      <x:c r="N13" s="444"/>
      <x:c r="O13" s="444"/>
      <x:c r="P13" s="444"/>
      <x:c r="Q13" s="444"/>
      <x:c r="R13" s="444"/>
    </x:row>
    <x:row r="14">
      <x:c r="A14" s="35"/>
      <x:c r="B14" s="35"/>
      <x:c r="C14" s="35"/>
      <x:c r="D14" s="35"/>
      <x:c r="E14" s="35"/>
      <x:c r="F14" s="35"/>
      <x:c r="G14" s="35"/>
      <x:c r="H14" s="35"/>
      <x:c r="I14" s="35"/>
      <x:c r="J14" s="35"/>
      <x:c r="M14" s="444"/>
      <x:c r="N14" s="444"/>
      <x:c r="O14" s="444"/>
      <x:c r="P14" s="444"/>
      <x:c r="Q14" s="444"/>
      <x:c r="R14" s="444"/>
    </x:row>
    <x:row r="15">
      <x:c r="A15" s="38" t="str">
        <x:v>Planning KPIs</x:v>
      </x:c>
      <x:c r="B15" s="35"/>
      <x:c r="C15" s="35"/>
      <x:c r="D15" s="35"/>
      <x:c r="E15" s="35"/>
      <x:c r="F15" s="35"/>
      <x:c r="G15" s="35"/>
      <x:c r="H15" s="35"/>
      <x:c r="I15" s="35"/>
      <x:c r="J15" s="35"/>
      <x:c r="M15" s="444"/>
      <x:c r="N15" s="444"/>
      <x:c r="O15" s="444"/>
      <x:c r="P15" s="444"/>
      <x:c r="Q15" s="444"/>
      <x:c r="R15" s="444"/>
    </x:row>
    <x:row r="16">
      <x:c r="A16" s="59" t="str">
        <x:v>KPI</x:v>
      </x:c>
      <x:c r="B16" s="59" t="str">
        <x:v>2026A</x:v>
      </x:c>
      <x:c r="C16" s="59" t="str">
        <x:v>2027E</x:v>
      </x:c>
      <x:c r="D16" s="59" t="str">
        <x:v>2028E</x:v>
      </x:c>
      <x:c r="E16" s="59" t="str">
        <x:v>2029E</x:v>
      </x:c>
      <x:c r="F16" s="59" t="str">
        <x:v>2030E</x:v>
      </x:c>
      <x:c r="G16" s="35"/>
      <x:c r="H16" s="35"/>
      <x:c r="I16" s="35"/>
      <x:c r="J16" s="35"/>
      <x:c r="M16" s="444"/>
      <x:c r="N16" s="444"/>
      <x:c r="O16" s="444"/>
      <x:c r="P16" s="444"/>
      <x:c r="Q16" s="444"/>
      <x:c r="R16" s="444"/>
    </x:row>
    <x:row r="17">
      <x:c r="A17" s="35" t="str">
        <x:v>Revenue Growth</x:v>
      </x:c>
      <x:c r="B17" s="35" t="str">
        <x:v>-</x:v>
      </x:c>
      <x:c r="C17" s="117" t="n">
        <x:f>Revenue_Build!C6</x:f>
        <x:v>0.25</x:v>
      </x:c>
      <x:c r="D17" s="117" t="n">
        <x:f>Revenue_Build!D6</x:f>
        <x:v>0.22</x:v>
      </x:c>
      <x:c r="E17" s="117" t="n">
        <x:f>Revenue_Build!E6</x:f>
        <x:v>0.2</x:v>
      </x:c>
      <x:c r="F17" s="117" t="n">
        <x:f>Revenue_Build!F6</x:f>
        <x:v>0.18</x:v>
      </x:c>
      <x:c r="G17" s="35"/>
      <x:c r="H17" s="35"/>
      <x:c r="I17" s="35"/>
      <x:c r="J17" s="35"/>
      <x:c r="M17" s="444"/>
      <x:c r="N17" s="444"/>
      <x:c r="O17" s="444"/>
      <x:c r="P17" s="444"/>
      <x:c r="Q17" s="444"/>
      <x:c r="R17" s="444"/>
    </x:row>
    <x:row r="18">
      <x:c r="A18" s="35" t="str">
        <x:v>Gross Margin</x:v>
      </x:c>
      <x:c r="B18" s="117" t="n">
        <x:f>Income_Statement!B8</x:f>
        <x:v>0.75</x:v>
      </x:c>
      <x:c r="C18" s="117" t="n">
        <x:f>Income_Statement!C8</x:f>
        <x:v>0.76</x:v>
      </x:c>
      <x:c r="D18" s="117" t="n">
        <x:f>Income_Statement!D8</x:f>
        <x:v>0.77</x:v>
      </x:c>
      <x:c r="E18" s="117" t="n">
        <x:f>Income_Statement!E8</x:f>
        <x:v>0.78</x:v>
      </x:c>
      <x:c r="F18" s="117" t="n">
        <x:f>Income_Statement!F8</x:f>
        <x:v>0.79</x:v>
      </x:c>
      <x:c r="G18" s="35"/>
      <x:c r="H18" s="35"/>
      <x:c r="I18" s="35"/>
      <x:c r="J18" s="35"/>
      <x:c r="M18" s="444"/>
      <x:c r="N18" s="444"/>
      <x:c r="O18" s="444"/>
      <x:c r="P18" s="444"/>
      <x:c r="Q18" s="444"/>
      <x:c r="R18" s="444"/>
    </x:row>
    <x:row r="19">
      <x:c r="A19" s="35" t="str">
        <x:v>EBITDA Margin</x:v>
      </x:c>
      <x:c r="B19" s="117" t="n">
        <x:f>Income_Statement!B15</x:f>
        <x:v>0.12000000000000002</x:v>
      </x:c>
      <x:c r="C19" s="117" t="n">
        <x:f>Income_Statement!C15</x:f>
        <x:v>0.17</x:v>
      </x:c>
      <x:c r="D19" s="117" t="n">
        <x:f>Income_Statement!D15</x:f>
        <x:v>0.20499999999999993</x:v>
      </x:c>
      <x:c r="E19" s="117" t="n">
        <x:f>Income_Statement!E15</x:f>
        <x:v>0.24000000000000005</x:v>
      </x:c>
      <x:c r="F19" s="117" t="n">
        <x:f>Income_Statement!F15</x:f>
        <x:v>0.2700000000000001</x:v>
      </x:c>
      <x:c r="G19" s="35"/>
      <x:c r="H19" s="35"/>
      <x:c r="I19" s="35"/>
      <x:c r="J19" s="35"/>
      <x:c r="M19" s="444"/>
      <x:c r="N19" s="444"/>
      <x:c r="O19" s="444"/>
      <x:c r="P19" s="444"/>
      <x:c r="Q19" s="444"/>
      <x:c r="R19" s="444"/>
    </x:row>
    <x:row r="20">
      <x:c r="A20" s="35" t="str">
        <x:v>DSO</x:v>
      </x:c>
      <x:c r="B20" s="160" t="n">
        <x:v>45</x:v>
      </x:c>
      <x:c r="C20" s="160" t="n">
        <x:f>Assumptions!B12</x:f>
        <x:v>43</x:v>
      </x:c>
      <x:c r="D20" s="160" t="n">
        <x:f>Assumptions!C12</x:f>
        <x:v>41</x:v>
      </x:c>
      <x:c r="E20" s="160" t="n">
        <x:f>Assumptions!D12</x:f>
        <x:v>40</x:v>
      </x:c>
      <x:c r="F20" s="160" t="n">
        <x:f>Assumptions!E12</x:f>
        <x:v>39</x:v>
      </x:c>
      <x:c r="G20" s="35"/>
      <x:c r="H20" s="35"/>
      <x:c r="I20" s="35"/>
      <x:c r="J20" s="35"/>
      <x:c r="M20" s="444"/>
      <x:c r="N20" s="444"/>
      <x:c r="O20" s="444"/>
      <x:c r="P20" s="444"/>
      <x:c r="Q20" s="444"/>
      <x:c r="R20" s="444"/>
    </x:row>
    <x:row r="21">
      <x:c r="A21" s="35" t="str">
        <x:v>DPO</x:v>
      </x:c>
      <x:c r="B21" s="160" t="n">
        <x:v>30</x:v>
      </x:c>
      <x:c r="C21" s="160" t="n">
        <x:f>Assumptions!B13</x:f>
        <x:v>32</x:v>
      </x:c>
      <x:c r="D21" s="160" t="n">
        <x:f>Assumptions!C13</x:f>
        <x:v>33</x:v>
      </x:c>
      <x:c r="E21" s="160" t="n">
        <x:f>Assumptions!D13</x:f>
        <x:v>34</x:v>
      </x:c>
      <x:c r="F21" s="160" t="n">
        <x:f>Assumptions!E13</x:f>
        <x:v>35</x:v>
      </x:c>
      <x:c r="G21" s="35"/>
      <x:c r="H21" s="35"/>
      <x:c r="I21" s="35"/>
      <x:c r="J21" s="35"/>
      <x:c r="M21" s="444"/>
      <x:c r="N21" s="444"/>
      <x:c r="O21" s="444"/>
      <x:c r="P21" s="444"/>
      <x:c r="Q21" s="444"/>
      <x:c r="R21" s="444"/>
    </x:row>
    <x:row r="22">
      <x:c r="A22" s="35"/>
      <x:c r="B22" s="35"/>
      <x:c r="C22" s="35"/>
      <x:c r="D22" s="35"/>
      <x:c r="E22" s="35"/>
      <x:c r="F22" s="35"/>
      <x:c r="G22" s="35"/>
      <x:c r="H22" s="35"/>
      <x:c r="I22" s="35"/>
      <x:c r="J22" s="35"/>
    </x:row>
    <x:row r="23">
      <x:c r="A23" s="35"/>
      <x:c r="B23" s="35"/>
      <x:c r="C23" s="35"/>
      <x:c r="D23" s="35"/>
      <x:c r="E23" s="35"/>
      <x:c r="F23" s="35"/>
      <x:c r="G23" s="35"/>
      <x:c r="H23" s="35"/>
      <x:c r="I23" s="35"/>
      <x:c r="J23" s="35"/>
    </x:row>
    <x:row r="24">
      <x:c r="A24" s="35"/>
      <x:c r="B24" s="35"/>
      <x:c r="C24" s="35"/>
      <x:c r="D24" s="35"/>
      <x:c r="E24" s="35"/>
      <x:c r="F24" s="35"/>
      <x:c r="G24" s="35"/>
      <x:c r="H24" s="35"/>
      <x:c r="I24" s="35"/>
      <x:c r="J24" s="35"/>
    </x:row>
    <x:row r="25">
      <x:c r="A25" s="35"/>
      <x:c r="B25" s="35"/>
      <x:c r="C25" s="35"/>
      <x:c r="D25" s="35"/>
      <x:c r="E25" s="35"/>
      <x:c r="F25" s="35"/>
      <x:c r="G25" s="35"/>
      <x:c r="H25" s="35"/>
      <x:c r="I25" s="35"/>
      <x:c r="J25" s="35"/>
    </x:row>
    <x:row r="26">
      <x:c r="A26" s="35"/>
      <x:c r="B26" s="35"/>
      <x:c r="C26" s="35"/>
      <x:c r="D26" s="35"/>
      <x:c r="E26" s="35"/>
      <x:c r="F26" s="35"/>
      <x:c r="G26" s="35"/>
      <x:c r="H26" s="35"/>
      <x:c r="I26" s="35"/>
      <x:c r="J26" s="35"/>
    </x:row>
    <x:row r="27">
      <x:c r="A27" s="35"/>
      <x:c r="B27" s="35"/>
      <x:c r="C27" s="35"/>
      <x:c r="D27" s="35"/>
      <x:c r="E27" s="35"/>
      <x:c r="F27" s="35"/>
      <x:c r="G27" s="35"/>
      <x:c r="H27" s="35"/>
      <x:c r="I27" s="35"/>
      <x:c r="J27" s="35"/>
    </x:row>
    <x:row r="28">
      <x:c r="A28" s="35"/>
      <x:c r="B28" s="35"/>
      <x:c r="C28" s="35"/>
      <x:c r="D28" s="35"/>
      <x:c r="E28" s="35"/>
      <x:c r="F28" s="35"/>
      <x:c r="G28" s="35"/>
      <x:c r="H28" s="35"/>
      <x:c r="I28" s="35"/>
      <x:c r="J28" s="35"/>
    </x:row>
    <x:row r="29">
      <x:c r="A29" s="35"/>
      <x:c r="B29" s="35"/>
      <x:c r="C29" s="35"/>
      <x:c r="D29" s="35"/>
      <x:c r="E29" s="35"/>
      <x:c r="F29" s="35"/>
      <x:c r="G29" s="35"/>
      <x:c r="H29" s="35"/>
      <x:c r="I29" s="35"/>
      <x:c r="J29" s="35"/>
    </x:row>
    <x:row r="30">
      <x:c r="A30" s="35"/>
      <x:c r="B30" s="35"/>
      <x:c r="C30" s="35"/>
      <x:c r="D30" s="35"/>
      <x:c r="E30" s="35"/>
      <x:c r="F30" s="35"/>
      <x:c r="G30" s="35"/>
      <x:c r="H30" s="35"/>
      <x:c r="I30" s="35"/>
      <x:c r="J30" s="35"/>
    </x:row>
    <x:row r="31">
      <x:c r="A31" s="35"/>
      <x:c r="B31" s="35"/>
      <x:c r="C31" s="35"/>
      <x:c r="D31" s="35"/>
      <x:c r="E31" s="35"/>
      <x:c r="F31" s="35"/>
      <x:c r="G31" s="35"/>
      <x:c r="H31" s="35"/>
      <x:c r="I31" s="35"/>
      <x:c r="J31" s="35"/>
    </x:row>
    <x:row r="32">
      <x:c r="A32" s="35"/>
      <x:c r="B32" s="35"/>
      <x:c r="C32" s="35"/>
      <x:c r="D32" s="35"/>
      <x:c r="E32" s="35"/>
      <x:c r="F32" s="35"/>
      <x:c r="G32" s="35"/>
      <x:c r="H32" s="35"/>
      <x:c r="I32" s="35"/>
      <x:c r="J32" s="35"/>
    </x:row>
    <x:row r="33">
      <x:c r="A33" s="35"/>
      <x:c r="B33" s="35"/>
      <x:c r="C33" s="35"/>
      <x:c r="D33" s="35"/>
      <x:c r="E33" s="35"/>
      <x:c r="F33" s="35"/>
      <x:c r="G33" s="35"/>
      <x:c r="H33" s="35"/>
      <x:c r="I33" s="35"/>
      <x:c r="J33" s="35"/>
    </x:row>
    <x:row r="34">
      <x:c r="A34" s="35"/>
      <x:c r="B34" s="35"/>
      <x:c r="C34" s="35"/>
      <x:c r="D34" s="35"/>
      <x:c r="E34" s="35"/>
      <x:c r="F34" s="35"/>
      <x:c r="G34" s="35"/>
      <x:c r="H34" s="35"/>
      <x:c r="I34" s="35"/>
      <x:c r="J34" s="35"/>
    </x:row>
  </x:sheetData>
  <x:mergeCells>
    <x:mergeCell ref="A1:J1"/>
    <x:mergeCell ref="A2:J2"/>
    <x:mergeCell ref="A4:B4"/>
    <x:mergeCell ref="A5:B6"/>
    <x:mergeCell ref="D4:E4"/>
    <x:mergeCell ref="D5:E6"/>
    <x:mergeCell ref="G4:H4"/>
    <x:mergeCell ref="G5:H6"/>
    <x:mergeCell ref="I4:J4"/>
    <x:mergeCell ref="I5:J6"/>
    <x:mergeCell ref="A8:F8"/>
    <x:mergeCell ref="A15:F15"/>
  </x:mergeCells>
  <x:pageMargins left="0.7" right="0.7" top="0.75" bottom="0.75" header="0.3" footer="0.3"/>
  <x:drawing xmlns:r="http://schemas.openxmlformats.org/officeDocument/2006/relationships" r:id="R3540e04214aa4397"/>
</x:worksheet>
</file>

<file path=xl/worksheets/sheet11.xml><?xml version="1.0" encoding="utf-8"?>
<x:worksheet xmlns:x="http://schemas.openxmlformats.org/spreadsheetml/2006/main">
  <x:sheetFormatPr defaultRowHeight="15"/>
  <x:cols>
    <x:col min="1" max="1" width="92" hidden="0" customWidth="1"/>
    <x:col min="2" max="2" width="2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6" customHeight="1">
      <x:c r="A1" s="314" t="str">
        <x:v>AI-Assisted Management Commentary | Portfolio Release v1.5.1</x:v>
      </x:c>
      <x:c r="B1" s="315"/>
      <x:c r="C1" s="35"/>
      <x:c r="D1" s="35"/>
      <x:c r="E1" s="35"/>
      <x:c r="F1" s="35"/>
      <x:c r="G1" s="35"/>
      <x:c r="H1" s="35"/>
    </x:row>
    <x:row r="2">
      <x:c r="A2" s="315"/>
      <x:c r="B2" s="315"/>
      <x:c r="C2" s="35"/>
      <x:c r="D2" s="35"/>
      <x:c r="E2" s="35"/>
      <x:c r="F2" s="35"/>
      <x:c r="G2" s="35"/>
      <x:c r="H2" s="35"/>
    </x:row>
    <x:row r="3">
      <x:c r="A3" s="316" t="str">
        <x:v>This sheet converts live model outputs into a structured prompt for ChatGPT or Microsoft Copilot. Change the scenario or assumptions, and the prompt updates with the new financial outlook.</x:v>
      </x:c>
      <x:c r="B3" s="316"/>
      <x:c r="C3" s="40"/>
      <x:c r="D3" s="40"/>
      <x:c r="E3" s="40"/>
      <x:c r="F3" s="40"/>
      <x:c r="G3" s="40"/>
      <x:c r="H3" s="40"/>
    </x:row>
    <x:row r="4">
      <x:c r="A4" s="316"/>
      <x:c r="B4" s="316"/>
      <x:c r="C4" s="40"/>
      <x:c r="D4" s="40"/>
      <x:c r="E4" s="40"/>
      <x:c r="F4" s="40"/>
      <x:c r="G4" s="40"/>
      <x:c r="H4" s="40"/>
    </x:row>
    <x:row r="5">
      <x:c r="A5" s="315"/>
      <x:c r="B5" s="315"/>
      <x:c r="C5" s="35"/>
      <x:c r="D5" s="35"/>
      <x:c r="E5" s="35"/>
      <x:c r="F5" s="35"/>
      <x:c r="G5" s="35"/>
      <x:c r="H5" s="35"/>
    </x:row>
    <x:row r="6">
      <x:c r="A6" s="317" t="str">
        <x:v>Live Model Outputs</x:v>
      </x:c>
      <x:c r="B6" s="315"/>
      <x:c r="C6" s="35"/>
      <x:c r="D6" s="35"/>
      <x:c r="E6" s="35"/>
      <x:c r="F6" s="35"/>
      <x:c r="G6" s="35"/>
      <x:c r="H6" s="35"/>
    </x:row>
    <x:row r="7">
      <x:c r="A7" s="318" t="str">
        <x:v>Metric</x:v>
      </x:c>
      <x:c r="B7" s="318" t="str">
        <x:v>Value</x:v>
      </x:c>
      <x:c r="C7" s="35"/>
      <x:c r="D7" s="35"/>
      <x:c r="E7" s="35"/>
      <x:c r="F7" s="35"/>
      <x:c r="G7" s="35"/>
      <x:c r="H7" s="35"/>
    </x:row>
    <x:row r="8">
      <x:c r="A8" s="315" t="str">
        <x:v>Selected Scenario</x:v>
      </x:c>
      <x:c r="B8" s="315" t="str">
        <x:f>Assumptions!B3</x:f>
        <x:v>Base</x:v>
      </x:c>
      <x:c r="C8" s="35"/>
      <x:c r="D8" s="35"/>
      <x:c r="E8" s="35"/>
      <x:c r="F8" s="35"/>
      <x:c r="G8" s="35"/>
      <x:c r="H8" s="35"/>
    </x:row>
    <x:row r="9">
      <x:c r="A9" s="315" t="str">
        <x:v>2027 Revenue Growth</x:v>
      </x:c>
      <x:c r="B9" s="319" t="n">
        <x:f>Revenue_Build!C6</x:f>
        <x:v>0.25</x:v>
      </x:c>
      <x:c r="C9" s="35"/>
      <x:c r="D9" s="35"/>
      <x:c r="E9" s="35"/>
      <x:c r="F9" s="35"/>
      <x:c r="G9" s="35"/>
      <x:c r="H9" s="35"/>
    </x:row>
    <x:row r="10">
      <x:c r="A10" s="315" t="str">
        <x:v>2030 Revenue</x:v>
      </x:c>
      <x:c r="B10" s="320" t="n">
        <x:f>Income_Statement!F5</x:f>
        <x:v>43.188</x:v>
      </x:c>
      <x:c r="C10" s="35"/>
      <x:c r="D10" s="35"/>
      <x:c r="E10" s="35"/>
      <x:c r="F10" s="35"/>
      <x:c r="G10" s="35"/>
      <x:c r="H10" s="35"/>
    </x:row>
    <x:row r="11">
      <x:c r="A11" s="315" t="str">
        <x:v>2030 EBITDA Margin</x:v>
      </x:c>
      <x:c r="B11" s="319" t="n">
        <x:f>Income_Statement!F15</x:f>
        <x:v>0.2700000000000001</x:v>
      </x:c>
      <x:c r="C11" s="35"/>
      <x:c r="D11" s="35"/>
      <x:c r="E11" s="35"/>
      <x:c r="F11" s="35"/>
      <x:c r="G11" s="35"/>
      <x:c r="H11" s="35"/>
    </x:row>
    <x:row r="12">
      <x:c r="A12" s="315" t="str">
        <x:v>2030 Ending Cash</x:v>
      </x:c>
      <x:c r="B12" s="320" t="n">
        <x:f>Balance_Sheet!F5</x:f>
        <x:v>22.068132765753425</x:v>
      </x:c>
      <x:c r="C12" s="35"/>
      <x:c r="D12" s="35"/>
      <x:c r="E12" s="35"/>
      <x:c r="F12" s="35"/>
      <x:c r="G12" s="35"/>
      <x:c r="H12" s="35"/>
    </x:row>
    <x:row r="13">
      <x:c r="A13" s="315" t="str">
        <x:v>2030 Free Cash Flow</x:v>
      </x:c>
      <x:c r="B13" s="320" t="n">
        <x:f>Cash_Flow!F25</x:f>
        <x:v>7.875827834246577</x:v>
      </x:c>
      <x:c r="C13" s="35"/>
      <x:c r="D13" s="35"/>
      <x:c r="E13" s="35"/>
      <x:c r="F13" s="35"/>
      <x:c r="G13" s="35"/>
      <x:c r="H13" s="35"/>
    </x:row>
    <x:row r="14">
      <x:c r="A14" s="315"/>
      <x:c r="B14" s="315"/>
      <x:c r="C14" s="35"/>
      <x:c r="D14" s="35"/>
      <x:c r="E14" s="35"/>
      <x:c r="F14" s="35"/>
      <x:c r="G14" s="35"/>
      <x:c r="H14" s="35"/>
    </x:row>
    <x:row r="15">
      <x:c r="A15" s="317" t="str">
        <x:v>Dynamic FP&amp;A Prompt</x:v>
      </x:c>
      <x:c r="B15" s="315"/>
      <x:c r="C15" s="35"/>
      <x:c r="D15" s="35"/>
      <x:c r="E15" s="35"/>
      <x:c r="F15" s="35"/>
      <x:c r="G15" s="35"/>
      <x:c r="H15" s="35"/>
    </x:row>
    <x:row r="16">
      <x:c r="A16" s="321" t="str">
        <x:f>"You are an FP&amp;A Director preparing an executive forecast commentary for a fictional SaaS company. "&amp;"Analyze the "&amp;B8&amp;" scenario. Key outputs: 2027 revenue growth = "&amp;TEXT(B9,"0.0%")&amp;", 2030 revenue = $"&amp;TEXT(B10,"0.0")&amp;"mm, 2030 EBITDA margin = "&amp;TEXT(B11,"0.0%")&amp;", 2030 ending cash = $"&amp;TEXT(B12,"0.0")&amp;"mm, and 2030 free cash flow = $"&amp;TEXT(B13,"0.0")&amp;"mm. Provide: (1) a 4-bullet executive summary, (2) the two most important financial drivers, "&amp;"(3) two risks or sensitivities, and (4) three management actions. Do not invent metrics that are not provided."</x:f>
        <x:v>You are an FP&amp;A Director preparing an executive forecast commentary for a fictional SaaS company. Analyze the Base scenario. Key outputs: 2027 revenue growth = 25.0%, 2030 revenue = $43.2mm, 2030 EBITDA margin = 27.0%, 2030 ending cash = $22.1mm, and 2030 free cash flow = $7.9mm. Provide: (1) a 4-bullet executive summary, (2) the two most important financial drivers, (3) two risks or sensitivities, and (4) three management actions. Do not invent metrics that are not provided.</x:v>
      </x:c>
      <x:c r="B16" s="321"/>
      <x:c r="C16" s="170"/>
      <x:c r="D16" s="170"/>
      <x:c r="E16" s="170"/>
      <x:c r="F16" s="170"/>
      <x:c r="G16" s="170"/>
      <x:c r="H16" s="170"/>
    </x:row>
    <x:row r="17">
      <x:c r="A17" s="321"/>
      <x:c r="B17" s="321"/>
      <x:c r="C17" s="170"/>
      <x:c r="D17" s="170"/>
      <x:c r="E17" s="170"/>
      <x:c r="F17" s="170"/>
      <x:c r="G17" s="170"/>
      <x:c r="H17" s="170"/>
    </x:row>
    <x:row r="18">
      <x:c r="A18" s="321"/>
      <x:c r="B18" s="321"/>
      <x:c r="C18" s="170"/>
      <x:c r="D18" s="170"/>
      <x:c r="E18" s="170"/>
      <x:c r="F18" s="170"/>
      <x:c r="G18" s="170"/>
      <x:c r="H18" s="170"/>
    </x:row>
    <x:row r="19">
      <x:c r="A19" s="321"/>
      <x:c r="B19" s="321"/>
      <x:c r="C19" s="170"/>
      <x:c r="D19" s="170"/>
      <x:c r="E19" s="170"/>
      <x:c r="F19" s="170"/>
      <x:c r="G19" s="170"/>
      <x:c r="H19" s="170"/>
    </x:row>
    <x:row r="20">
      <x:c r="A20" s="321"/>
      <x:c r="B20" s="321"/>
      <x:c r="C20" s="170"/>
      <x:c r="D20" s="170"/>
      <x:c r="E20" s="170"/>
      <x:c r="F20" s="170"/>
      <x:c r="G20" s="170"/>
      <x:c r="H20" s="170"/>
    </x:row>
    <x:row r="21">
      <x:c r="A21" s="321"/>
      <x:c r="B21" s="321"/>
      <x:c r="C21" s="170"/>
      <x:c r="D21" s="170"/>
      <x:c r="E21" s="170"/>
      <x:c r="F21" s="170"/>
      <x:c r="G21" s="170"/>
      <x:c r="H21" s="170"/>
    </x:row>
    <x:row r="22">
      <x:c r="A22" s="321"/>
      <x:c r="B22" s="321"/>
      <x:c r="C22" s="170"/>
      <x:c r="D22" s="170"/>
      <x:c r="E22" s="170"/>
      <x:c r="F22" s="170"/>
      <x:c r="G22" s="170"/>
      <x:c r="H22" s="170"/>
    </x:row>
    <x:row r="23">
      <x:c r="A23" s="321"/>
      <x:c r="B23" s="321"/>
      <x:c r="C23" s="170"/>
      <x:c r="D23" s="170"/>
      <x:c r="E23" s="170"/>
      <x:c r="F23" s="170"/>
      <x:c r="G23" s="170"/>
      <x:c r="H23" s="170"/>
    </x:row>
    <x:row r="24">
      <x:c r="A24" s="321"/>
      <x:c r="B24" s="321"/>
      <x:c r="C24" s="170"/>
      <x:c r="D24" s="170"/>
      <x:c r="E24" s="170"/>
      <x:c r="F24" s="170"/>
      <x:c r="G24" s="170"/>
      <x:c r="H24" s="170"/>
    </x:row>
    <x:row r="25">
      <x:c r="A25" s="321"/>
      <x:c r="B25" s="321"/>
      <x:c r="C25" s="170"/>
      <x:c r="D25" s="170"/>
      <x:c r="E25" s="170"/>
      <x:c r="F25" s="170"/>
      <x:c r="G25" s="170"/>
      <x:c r="H25" s="170"/>
    </x:row>
    <x:row r="26">
      <x:c r="A26" s="315"/>
      <x:c r="B26" s="315"/>
      <x:c r="C26" s="35"/>
      <x:c r="D26" s="35"/>
      <x:c r="E26" s="35"/>
      <x:c r="F26" s="35"/>
      <x:c r="G26" s="35"/>
      <x:c r="H26" s="35"/>
    </x:row>
    <x:row r="27">
      <x:c r="A27" s="322" t="str">
        <x:v>Interview talking point: this is a human-in-the-loop AI workflow. Excel remains the source of truth; AI is used to accelerate narrative analysis, not replace the financial model or its controls.</x:v>
      </x:c>
      <x:c r="B27" s="322"/>
      <x:c r="C27" s="171"/>
      <x:c r="D27" s="171"/>
      <x:c r="E27" s="171"/>
      <x:c r="F27" s="171"/>
      <x:c r="G27" s="171"/>
      <x:c r="H27" s="171"/>
    </x:row>
    <x:row r="28">
      <x:c r="A28" s="322"/>
      <x:c r="B28" s="322"/>
      <x:c r="C28" s="171"/>
      <x:c r="D28" s="171"/>
      <x:c r="E28" s="171"/>
      <x:c r="F28" s="171"/>
      <x:c r="G28" s="171"/>
      <x:c r="H28" s="171"/>
    </x:row>
    <x:row r="29">
      <x:c r="A29" s="323" t="str">
        <x:v>Monthly Budget vs Actual / Rolling Forecast Commentary</x:v>
      </x:c>
      <x:c r="B29" s="323"/>
      <x:c r="C29" s="171"/>
      <x:c r="D29" s="171"/>
      <x:c r="E29" s="171"/>
      <x:c r="F29" s="171"/>
      <x:c r="G29" s="171"/>
      <x:c r="H29" s="171"/>
    </x:row>
    <x:row r="30">
      <x:c r="A30" s="324" t="str">
        <x:v>Metric</x:v>
      </x:c>
      <x:c r="B30" s="324" t="str">
        <x:v>Value</x:v>
      </x:c>
      <x:c r="C30" s="171"/>
      <x:c r="D30" s="171"/>
      <x:c r="E30" s="171"/>
      <x:c r="F30" s="171"/>
      <x:c r="G30" s="171"/>
      <x:c r="H30" s="171"/>
    </x:row>
    <x:row r="31">
      <x:c r="A31" s="315" t="str">
        <x:v>Close Through</x:v>
      </x:c>
      <x:c r="B31" s="325" t="n">
        <x:f>Planning_Assumptions!B6</x:f>
        <x:v>46265</x:v>
      </x:c>
      <x:c r="C31" s="35"/>
      <x:c r="D31" s="35"/>
      <x:c r="E31" s="35"/>
      <x:c r="F31" s="35"/>
      <x:c r="G31" s="35"/>
      <x:c r="H31" s="35"/>
    </x:row>
    <x:row r="32">
      <x:c r="A32" s="315" t="str">
        <x:v>YTD Revenue $ Variance</x:v>
      </x:c>
      <x:c r="B32" s="326" t="n">
        <x:f>BvA_Analysis!D21</x:f>
        <x:v>0.4032</x:v>
      </x:c>
      <x:c r="C32" s="35"/>
      <x:c r="D32" s="35"/>
      <x:c r="E32" s="35"/>
      <x:c r="F32" s="35"/>
      <x:c r="G32" s="35"/>
      <x:c r="H32" s="35"/>
    </x:row>
    <x:row r="33">
      <x:c r="A33" s="174" t="str">
        <x:v>YTD Revenue % Variance</x:v>
      </x:c>
      <x:c r="B33" s="286" t="n">
        <x:f>BvA_Analysis!E21</x:f>
        <x:v>0.033386327503974564</x:v>
      </x:c>
    </x:row>
    <x:row r="34">
      <x:c r="A34" s="174" t="str">
        <x:v>YTD EBITDA $ Variance</x:v>
      </x:c>
      <x:c r="B34" s="199" t="n">
        <x:f>BvA_Analysis!D27</x:f>
        <x:v>0.4106880000000006</x:v>
      </x:c>
    </x:row>
    <x:row r="35">
      <x:c r="A35" s="174" t="str">
        <x:v>YTD EBITDA % Variance</x:v>
      </x:c>
      <x:c r="B35" s="286" t="n">
        <x:f>BvA_Analysis!E27</x:f>
        <x:v>0.3778484366719668</x:v>
      </x:c>
    </x:row>
    <x:row r="36">
      <x:c r="A36" s="174" t="str">
        <x:v>FY Revenue Forecast</x:v>
      </x:c>
      <x:c r="B36" s="199" t="n">
        <x:f>Rolling_Forecast!N7</x:f>
        <x:v>19.841017488076314</x:v>
      </x:c>
    </x:row>
    <x:row r="37">
      <x:c r="A37" s="174" t="str">
        <x:v>FY EBITDA Forecast</x:v>
      </x:c>
      <x:c r="B37" s="199" t="n">
        <x:f>Rolling_Forecast!N16</x:f>
        <x:v>2.4913373608903013</x:v>
      </x:c>
    </x:row>
    <x:row r="38">
      <x:c r="A38" s="174" t="str">
        <x:v>FY Net Income Forecast</x:v>
      </x:c>
      <x:c r="B38" s="199" t="n">
        <x:f>Rolling_Forecast!N24</x:f>
        <x:v>1.3602877583465816</x:v>
      </x:c>
    </x:row>
    <x:row r="39">
      <x:c r="A39" s="174" t="str">
        <x:v>YTD EBITDA Status</x:v>
      </x:c>
      <x:c r="B39" s="174" t="str">
        <x:f>BvA_Analysis!F27</x:f>
        <x:v>FAVORABLE — REVIEW</x:v>
      </x:c>
    </x:row>
    <x:row r="40">
      <x:c r="A40" s="244" t="str">
        <x:v>YTD Taxes Status</x:v>
      </x:c>
      <x:c r="B40" s="244" t="str">
        <x:f>BvA_Analysis!F32</x:f>
        <x:v>EXPECTED — DERIVED</x:v>
      </x:c>
    </x:row>
    <x:row r="41" ht="30" customHeight="1">
      <x:c r="A41" s="14" t="str">
        <x:v>YTD EBITDA Driver</x:v>
      </x:c>
      <x:c r="B41" s="14" t="str">
        <x:f>BvA_Analysis!H27</x:f>
        <x:v>Gross profit + operating leverage</x:v>
      </x:c>
    </x:row>
    <x:row r="42" ht="30" customHeight="1">
      <x:c r="A42" s="14"/>
      <x:c r="B42" s="14"/>
    </x:row>
    <x:row r="43" ht="30" customHeight="1">
      <x:c r="A43" s="14" t="str">
        <x:v>Dynamic Monthly FP&amp;A Prompt</x:v>
      </x:c>
      <x:c r="B43" s="14"/>
    </x:row>
    <x:row r="44" ht="30" customHeight="1">
      <x:c r="A44" s="14" t="str">
        <x:f>"You are an FP&amp;A Director preparing monthly management commentary for a fictional SaaS company through "&amp;TEXT(B31,"mmm-yy")&amp;". YTD revenue variance vs budget is $"&amp;TEXT(B32,"0.000")&amp;"mm ("&amp;TEXT(B33,"0.0%")&amp;"), and YTD EBITDA variance is $"&amp;TEXT(B34,"0.000")&amp;"mm ("&amp;TEXT(B35,"0.0%")&amp;"), currently classified as "&amp;B39&amp;". The primary EBITDA interpretation is: "&amp;B41&amp;". The rolling forecast projects FY revenue of $"&amp;TEXT(B36,"0.0")&amp;"mm, FY EBITDA of $"&amp;TEXT(B37,"0.0")&amp;"mm, and FY net income of $"&amp;TEXT(B38,"0.0")&amp;"mm. Taxes are classified as "&amp;B40&amp;". Provide: (1) a concise executive summary, (2) the primary favorable and unfavorable ROOT CAUSES only, (3) downstream derived impacts separately without double-counting them as root causes, (4) the most important forecast risk, (5) two management actions, and (6) one question leadership should investigate. Do not invent metrics not provided."</x:f>
        <x:v>You are an FP&amp;A Director preparing monthly management commentary for a fictional SaaS company through Aug-26. YTD revenue variance vs budget is $0.403mm (3.3%), and YTD EBITDA variance is $0.411mm (37.8%), currently classified as FAVORABLE — REVIEW. The primary EBITDA interpretation is: Gross profit + operating leverage. The rolling forecast projects FY revenue of $19.8mm, FY EBITDA of $2.5mm, and FY net income of $1.4mm. Taxes are classified as EXPECTED — DERIVED. Provide: (1) a concise executive summary, (2) the primary favorable and unfavorable ROOT CAUSES only, (3) downstream derived impacts separately without double-counting them as root causes, (4) the most important forecast risk, (5) two management actions, and (6) one question leadership should investigate. Do not invent metrics not provided.</x:v>
      </x:c>
      <x:c r="B44" s="14"/>
    </x:row>
    <x:row r="45" ht="30" customHeight="1">
      <x:c r="A45" s="14"/>
      <x:c r="B45" s="14"/>
    </x:row>
    <x:row r="46">
      <x:c r="A46" s="174"/>
      <x:c r="B46" s="174"/>
    </x:row>
    <x:row r="47">
      <x:c r="A47" s="180"/>
      <x:c r="B47" s="180"/>
    </x:row>
    <x:row r="48">
      <x:c r="A48" s="12" t="str">
        <x:v>Interview talking point: v1.2.1 adds variance intelligence—materiality, favorable/unfavorable direction, and root-cause vs derived classification—before AI generates management commentary.</x:v>
      </x:c>
      <x:c r="B48" s="12"/>
    </x:row>
    <x:row r="51">
      <x:c r="A51" s="404" t="str">
        <x:v>Data Refresh Governance</x:v>
      </x:c>
      <x:c r="B51" s="404"/>
    </x:row>
    <x:row r="52">
      <x:c r="A52" s="386" t="str">
        <x:v>Metric</x:v>
      </x:c>
      <x:c r="B52" s="386" t="str">
        <x:v>Value</x:v>
      </x:c>
    </x:row>
    <x:row r="53">
      <x:c r="A53" s="12" t="str">
        <x:v>Query Feed Status</x:v>
      </x:c>
      <x:c r="B53" s="12" t="str">
        <x:f>Power_Query_Control!$F$11</x:f>
        <x:v>READY</x:v>
      </x:c>
    </x:row>
    <x:row r="54">
      <x:c r="A54" s="12" t="str">
        <x:v>Latest Accounting Period</x:v>
      </x:c>
      <x:c r="B54" s="393" t="n">
        <x:f>Power_Query_Control!$F$9</x:f>
        <x:v>46387</x:v>
      </x:c>
    </x:row>
    <x:row r="55">
      <x:c r="A55" s="12" t="str">
        <x:v>Unmapped Source Rows</x:v>
      </x:c>
      <x:c r="B55" s="12" t="n">
        <x:f>Power_Query_Control!$F$8</x:f>
        <x:v>0</x:v>
      </x:c>
    </x:row>
    <x:row r="56">
      <x:c r="A56" s="12" t="str">
        <x:v>Latest Refresh Timestamp</x:v>
      </x:c>
      <x:c r="B56" s="394" t="n">
        <x:f>Power_Query_Control!$F$10</x:f>
        <x:v>46259.42291666667</x:v>
      </x:c>
    </x:row>
    <x:row r="57">
      <x:c r="A57" s="180" t="str">
        <x:v>Interview talking point: v1.3 adds a governed Power Query ingestion layer so AI commentary only sits downstream of validated, refreshed financial data.</x:v>
      </x:c>
      <x:c r="B57" s="180"/>
    </x:row>
    <x:row r="59">
      <x:c r="A59" s="459" t="str">
        <x:v>Portfolio Release Metadata</x:v>
      </x:c>
      <x:c r="B59" s="459"/>
    </x:row>
    <x:row r="60">
      <x:c r="A60" s="462" t="str">
        <x:v>Version</x:v>
      </x:c>
      <x:c r="B60" s="12" t="str">
        <x:v>v1.5.1</x:v>
      </x:c>
    </x:row>
    <x:row r="61">
      <x:c r="A61" s="462" t="str">
        <x:v>Workflow</x:v>
      </x:c>
      <x:c r="B61" s="12" t="str">
        <x:v>Validated Excel model → governed financial outputs → structured AI prompt</x:v>
      </x:c>
    </x:row>
    <x:row r="62">
      <x:c r="A62" s="462" t="str">
        <x:v>Human-in-the-loop</x:v>
      </x:c>
      <x:c r="B62" s="12" t="str">
        <x:v>Finance reviews controls and variances before AI commentary is used</x:v>
      </x:c>
    </x:row>
    <x:row r="63">
      <x:c r="A63" s="462" t="str">
        <x:v>Data</x:v>
      </x:c>
      <x:c r="B63" s="12" t="str">
        <x:v>100% synthetic SaaS portfolio data</x:v>
      </x:c>
    </x:row>
    <x:row r="64">
      <x:c r="A64" s="462" t="str">
        <x:v>Next planned release</x:v>
      </x:c>
      <x:c r="B64" s="12" t="str">
        <x:v>v2.0 deeper AI / Copilot/API workflow</x:v>
      </x:c>
    </x:row>
  </x:sheetData>
  <x:mergeCells>
    <x:mergeCell ref="A1:H1"/>
    <x:mergeCell ref="A3:H4"/>
    <x:mergeCell ref="A6:D6"/>
    <x:mergeCell ref="A15:H15"/>
    <x:mergeCell ref="A16:H25"/>
    <x:mergeCell ref="A27:H30"/>
    <x:mergeCell ref="A29:B29"/>
    <x:mergeCell ref="A40:B40"/>
    <x:mergeCell ref="A41:B45"/>
    <x:mergeCell ref="A47:B47"/>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13" hidden="0" customWidth="1"/>
    <x:col min="3" max="3" width="28" hidden="0" customWidth="1"/>
    <x:col min="4" max="4" width="22" hidden="0" customWidth="1"/>
    <x:col min="5" max="5" width="16" hidden="0" customWidth="1"/>
    <x:col min="6" max="6" width="18" hidden="0" customWidth="1"/>
    <x:col min="7" max="7" width="22" hidden="0" customWidth="1"/>
    <x:col min="8" max="8" width="17" hidden="0" customWidth="1"/>
    <x:col min="9" max="9" width="16" hidden="0" customWidth="1"/>
  </x:cols>
  <x:sheetData>
    <x:row r="1" ht="24" customHeight="1">
      <x:c r="A1" s="178" t="str">
        <x:v>Synthetic SaaS Company | Raw Actuals Import</x:v>
      </x:c>
      <x:c r="B1" s="178"/>
      <x:c r="C1" s="178"/>
      <x:c r="D1" s="178"/>
      <x:c r="E1" s="178"/>
      <x:c r="F1" s="178"/>
      <x:c r="G1" s="178"/>
      <x:c r="H1" s="178"/>
      <x:c r="I1" s="178"/>
    </x:row>
    <x:row r="2" ht="34" customHeight="1">
      <x:c r="A2" s="180" t="str">
        <x:v>REFERENCE / FALLBACK IMPORT ZONE: v1.5.1 live model ingestion uses the PQ_Actuals Power Query landing zone. This sample sheet is preserved for traceability and manual fallback only.</x:v>
      </x:c>
      <x:c r="B2" s="180"/>
      <x:c r="C2" s="180"/>
      <x:c r="D2" s="180"/>
      <x:c r="E2" s="180"/>
      <x:c r="F2" s="180"/>
      <x:c r="G2" s="180"/>
      <x:c r="H2" s="180"/>
      <x:c r="I2" s="180"/>
    </x:row>
    <x:row r="4">
      <x:c r="A4" s="183" t="str">
        <x:v>ERP / GL Export Fields — hardcoded import data</x:v>
      </x:c>
      <x:c r="B4" s="183"/>
      <x:c r="C4" s="183"/>
      <x:c r="D4" s="183"/>
      <x:c r="E4" s="183"/>
      <x:c r="F4" s="183"/>
      <x:c r="G4" s="183"/>
      <x:c r="H4" s="183"/>
      <x:c r="I4" s="183" t="str">
        <x:v>Automation</x:v>
      </x:c>
    </x:row>
    <x:row r="5">
      <x:c r="A5" s="188" t="str">
        <x:v>Period End</x:v>
      </x:c>
      <x:c r="B5" s="188" t="str">
        <x:v>Account Code</x:v>
      </x:c>
      <x:c r="C5" s="188" t="str">
        <x:v>Account Name</x:v>
      </x:c>
      <x:c r="D5" s="188" t="str">
        <x:v>Department</x:v>
      </x:c>
      <x:c r="E5" s="188" t="str">
        <x:v>Data Type</x:v>
      </x:c>
      <x:c r="F5" s="188" t="str">
        <x:v>Source Amount ($mm)</x:v>
      </x:c>
      <x:c r="G5" s="188" t="str">
        <x:v>Source System</x:v>
      </x:c>
      <x:c r="H5" s="188" t="str">
        <x:v>Import Batch</x:v>
      </x:c>
      <x:c r="I5" s="188" t="str">
        <x:v>Mapping Status</x:v>
      </x:c>
    </x:row>
    <x:row r="6">
      <x:c r="A6" s="189" t="n">
        <x:v>46053</x:v>
      </x:c>
      <x:c r="B6" s="54" t="str">
        <x:v>1000</x:v>
      </x:c>
      <x:c r="C6" s="54" t="str">
        <x:v>Cash &amp; Cash Equivalents</x:v>
      </x:c>
      <x:c r="D6" s="54" t="str">
        <x:v>Corporate</x:v>
      </x:c>
      <x:c r="E6" s="54" t="str">
        <x:v>BS Snapshot</x:v>
      </x:c>
      <x:c r="F6" s="190" t="n">
        <x:v>3.404167</x:v>
      </x:c>
      <x:c r="G6" s="54" t="str">
        <x:v>Synthetic ERP Export</x:v>
      </x:c>
      <x:c r="H6" s="54" t="str">
        <x:v>FY2026_DEMO</x:v>
      </x:c>
      <x:c r="I6" s="96" t="str">
        <x:f>IF($B6="","",IF(COUNTIF(Account_Map!$A$6:$A$31,$B6)&gt;0,"Mapped","UNMAPPED"))</x:f>
        <x:v>Mapped</x:v>
      </x:c>
    </x:row>
    <x:row r="7">
      <x:c r="A7" s="189" t="n">
        <x:v>46053</x:v>
      </x:c>
      <x:c r="B7" s="54" t="str">
        <x:v>1100</x:v>
      </x:c>
      <x:c r="C7" s="54" t="str">
        <x:v>Accounts Receivable</x:v>
      </x:c>
      <x:c r="D7" s="54" t="str">
        <x:v>Corporate</x:v>
      </x:c>
      <x:c r="E7" s="54" t="str">
        <x:v>BS Snapshot</x:v>
      </x:c>
      <x:c r="F7" s="190" t="n">
        <x:v>2.130479</x:v>
      </x:c>
      <x:c r="G7" s="54" t="str">
        <x:v>Synthetic ERP Export</x:v>
      </x:c>
      <x:c r="H7" s="54" t="str">
        <x:v>FY2026_DEMO</x:v>
      </x:c>
      <x:c r="I7" s="96" t="str">
        <x:f>IF($B7="","",IF(COUNTIF(Account_Map!$A$6:$A$31,$B7)&gt;0,"Mapped","UNMAPPED"))</x:f>
        <x:v>Mapped</x:v>
      </x:c>
    </x:row>
    <x:row r="8">
      <x:c r="A8" s="189" t="n">
        <x:v>46053</x:v>
      </x:c>
      <x:c r="B8" s="54" t="str">
        <x:v>1200</x:v>
      </x:c>
      <x:c r="C8" s="54" t="str">
        <x:v>Other Current Assets</x:v>
      </x:c>
      <x:c r="D8" s="54" t="str">
        <x:v>Corporate</x:v>
      </x:c>
      <x:c r="E8" s="54" t="str">
        <x:v>BS Snapshot</x:v>
      </x:c>
      <x:c r="F8" s="190" t="n">
        <x:v>0.49</x:v>
      </x:c>
      <x:c r="G8" s="54" t="str">
        <x:v>Synthetic ERP Export</x:v>
      </x:c>
      <x:c r="H8" s="54" t="str">
        <x:v>FY2026_DEMO</x:v>
      </x:c>
      <x:c r="I8" s="96" t="str">
        <x:f>IF($B8="","",IF(COUNTIF(Account_Map!$A$6:$A$31,$B8)&gt;0,"Mapped","UNMAPPED"))</x:f>
        <x:v>Mapped</x:v>
      </x:c>
    </x:row>
    <x:row r="9">
      <x:c r="A9" s="189" t="n">
        <x:v>46053</x:v>
      </x:c>
      <x:c r="B9" s="54" t="str">
        <x:v>1500</x:v>
      </x:c>
      <x:c r="C9" s="54" t="str">
        <x:v>PP&amp;E, Net</x:v>
      </x:c>
      <x:c r="D9" s="54" t="str">
        <x:v>Corporate</x:v>
      </x:c>
      <x:c r="E9" s="54" t="str">
        <x:v>BS Snapshot</x:v>
      </x:c>
      <x:c r="F9" s="190" t="n">
        <x:v>1.770833</x:v>
      </x:c>
      <x:c r="G9" s="54" t="str">
        <x:v>Synthetic ERP Export</x:v>
      </x:c>
      <x:c r="H9" s="54" t="str">
        <x:v>FY2026_DEMO</x:v>
      </x:c>
      <x:c r="I9" s="96" t="str">
        <x:f>IF($B9="","",IF(COUNTIF(Account_Map!$A$6:$A$31,$B9)&gt;0,"Mapped","UNMAPPED"))</x:f>
        <x:v>Mapped</x:v>
      </x:c>
    </x:row>
    <x:row r="10">
      <x:c r="A10" s="189" t="n">
        <x:v>46053</x:v>
      </x:c>
      <x:c r="B10" s="54" t="str">
        <x:v>2000</x:v>
      </x:c>
      <x:c r="C10" s="54" t="str">
        <x:v>Accounts Payable</x:v>
      </x:c>
      <x:c r="D10" s="54" t="str">
        <x:v>Corporate</x:v>
      </x:c>
      <x:c r="E10" s="54" t="str">
        <x:v>BS Snapshot</x:v>
      </x:c>
      <x:c r="F10" s="190" t="n">
        <x:v>-0.345913</x:v>
      </x:c>
      <x:c r="G10" s="54" t="str">
        <x:v>Synthetic ERP Export</x:v>
      </x:c>
      <x:c r="H10" s="54" t="str">
        <x:v>FY2026_DEMO</x:v>
      </x:c>
      <x:c r="I10" s="96" t="str">
        <x:f>IF($B10="","",IF(COUNTIF(Account_Map!$A$6:$A$31,$B10)&gt;0,"Mapped","UNMAPPED"))</x:f>
        <x:v>Mapped</x:v>
      </x:c>
    </x:row>
    <x:row r="11">
      <x:c r="A11" s="189" t="n">
        <x:v>46053</x:v>
      </x:c>
      <x:c r="B11" s="54" t="str">
        <x:v>2100</x:v>
      </x:c>
      <x:c r="C11" s="54" t="str">
        <x:v>Accrued Expenses</x:v>
      </x:c>
      <x:c r="D11" s="54" t="str">
        <x:v>Corporate</x:v>
      </x:c>
      <x:c r="E11" s="54" t="str">
        <x:v>BS Snapshot</x:v>
      </x:c>
      <x:c r="F11" s="190" t="n">
        <x:v>-0.8815</x:v>
      </x:c>
      <x:c r="G11" s="54" t="str">
        <x:v>Synthetic ERP Export</x:v>
      </x:c>
      <x:c r="H11" s="54" t="str">
        <x:v>FY2026_DEMO</x:v>
      </x:c>
      <x:c r="I11" s="96" t="str">
        <x:f>IF($B11="","",IF(COUNTIF(Account_Map!$A$6:$A$31,$B11)&gt;0,"Mapped","UNMAPPED"))</x:f>
        <x:v>Mapped</x:v>
      </x:c>
    </x:row>
    <x:row r="12">
      <x:c r="A12" s="189" t="n">
        <x:v>46053</x:v>
      </x:c>
      <x:c r="B12" s="54" t="str">
        <x:v>2200</x:v>
      </x:c>
      <x:c r="C12" s="54" t="str">
        <x:v>Deferred Revenue</x:v>
      </x:c>
      <x:c r="D12" s="54" t="str">
        <x:v>Corporate</x:v>
      </x:c>
      <x:c r="E12" s="54" t="str">
        <x:v>BS Snapshot</x:v>
      </x:c>
      <x:c r="F12" s="190" t="n">
        <x:v>-1.725</x:v>
      </x:c>
      <x:c r="G12" s="54" t="str">
        <x:v>Synthetic ERP Export</x:v>
      </x:c>
      <x:c r="H12" s="54" t="str">
        <x:v>FY2026_DEMO</x:v>
      </x:c>
      <x:c r="I12" s="96" t="str">
        <x:f>IF($B12="","",IF(COUNTIF(Account_Map!$A$6:$A$31,$B12)&gt;0,"Mapped","UNMAPPED"))</x:f>
        <x:v>Mapped</x:v>
      </x:c>
    </x:row>
    <x:row r="13">
      <x:c r="A13" s="189" t="n">
        <x:v>46053</x:v>
      </x:c>
      <x:c r="B13" s="54" t="str">
        <x:v>2500</x:v>
      </x:c>
      <x:c r="C13" s="54" t="str">
        <x:v>Debt</x:v>
      </x:c>
      <x:c r="D13" s="54" t="str">
        <x:v>Corporate</x:v>
      </x:c>
      <x:c r="E13" s="54" t="str">
        <x:v>BS Snapshot</x:v>
      </x:c>
      <x:c r="F13" s="190" t="n">
        <x:v>-2.866667</x:v>
      </x:c>
      <x:c r="G13" s="54" t="str">
        <x:v>Synthetic ERP Export</x:v>
      </x:c>
      <x:c r="H13" s="54" t="str">
        <x:v>FY2026_DEMO</x:v>
      </x:c>
      <x:c r="I13" s="96" t="str">
        <x:f>IF($B13="","",IF(COUNTIF(Account_Map!$A$6:$A$31,$B13)&gt;0,"Mapped","UNMAPPED"))</x:f>
        <x:v>Mapped</x:v>
      </x:c>
    </x:row>
    <x:row r="14">
      <x:c r="A14" s="189" t="n">
        <x:v>46053</x:v>
      </x:c>
      <x:c r="B14" s="54" t="str">
        <x:v>3000</x:v>
      </x:c>
      <x:c r="C14" s="54" t="str">
        <x:v>Equity</x:v>
      </x:c>
      <x:c r="D14" s="54" t="str">
        <x:v>Corporate</x:v>
      </x:c>
      <x:c r="E14" s="54" t="str">
        <x:v>BS Snapshot</x:v>
      </x:c>
      <x:c r="F14" s="190" t="n">
        <x:v>-2.095566</x:v>
      </x:c>
      <x:c r="G14" s="54" t="str">
        <x:v>Synthetic ERP Export</x:v>
      </x:c>
      <x:c r="H14" s="54" t="str">
        <x:v>FY2026_DEMO</x:v>
      </x:c>
      <x:c r="I14" s="96" t="str">
        <x:f>IF($B14="","",IF(COUNTIF(Account_Map!$A$6:$A$31,$B14)&gt;0,"Mapped","UNMAPPED"))</x:f>
        <x:v>Mapped</x:v>
      </x:c>
    </x:row>
    <x:row r="15">
      <x:c r="A15" s="189" t="n">
        <x:v>46053</x:v>
      </x:c>
      <x:c r="B15" s="54" t="str">
        <x:v>4000</x:v>
      </x:c>
      <x:c r="C15" s="54" t="str">
        <x:v>Subscription Revenue</x:v>
      </x:c>
      <x:c r="D15" s="54" t="str">
        <x:v>Sales</x:v>
      </x:c>
      <x:c r="E15" s="54" t="str">
        <x:v>P&amp;L Activity</x:v>
      </x:c>
      <x:c r="F15" s="190" t="n">
        <x:v>-1.42</x:v>
      </x:c>
      <x:c r="G15" s="54" t="str">
        <x:v>Synthetic ERP Export</x:v>
      </x:c>
      <x:c r="H15" s="54" t="str">
        <x:v>FY2026_DEMO</x:v>
      </x:c>
      <x:c r="I15" s="96" t="str">
        <x:f>IF($B15="","",IF(COUNTIF(Account_Map!$A$6:$A$31,$B15)&gt;0,"Mapped","UNMAPPED"))</x:f>
        <x:v>Mapped</x:v>
      </x:c>
    </x:row>
    <x:row r="16">
      <x:c r="A16" s="189" t="n">
        <x:v>46053</x:v>
      </x:c>
      <x:c r="B16" s="54" t="str">
        <x:v>5000</x:v>
      </x:c>
      <x:c r="C16" s="54" t="str">
        <x:v>Hosting &amp; Service Delivery</x:v>
      </x:c>
      <x:c r="D16" s="54" t="str">
        <x:v>Operations</x:v>
      </x:c>
      <x:c r="E16" s="54" t="str">
        <x:v>P&amp;L Activity</x:v>
      </x:c>
      <x:c r="F16" s="190" t="n">
        <x:v>0.355</x:v>
      </x:c>
      <x:c r="G16" s="54" t="str">
        <x:v>Synthetic ERP Export</x:v>
      </x:c>
      <x:c r="H16" s="54" t="str">
        <x:v>FY2026_DEMO</x:v>
      </x:c>
      <x:c r="I16" s="96" t="str">
        <x:f>IF($B16="","",IF(COUNTIF(Account_Map!$A$6:$A$31,$B16)&gt;0,"Mapped","UNMAPPED"))</x:f>
        <x:v>Mapped</x:v>
      </x:c>
    </x:row>
    <x:row r="17">
      <x:c r="A17" s="189" t="n">
        <x:v>46053</x:v>
      </x:c>
      <x:c r="B17" s="54" t="str">
        <x:v>6100</x:v>
      </x:c>
      <x:c r="C17" s="54" t="str">
        <x:v>Sales &amp; Marketing</x:v>
      </x:c>
      <x:c r="D17" s="54" t="str">
        <x:v>Sales &amp; Marketing</x:v>
      </x:c>
      <x:c r="E17" s="54" t="str">
        <x:v>P&amp;L Activity</x:v>
      </x:c>
      <x:c r="F17" s="190" t="n">
        <x:v>0.426</x:v>
      </x:c>
      <x:c r="G17" s="54" t="str">
        <x:v>Synthetic ERP Export</x:v>
      </x:c>
      <x:c r="H17" s="54" t="str">
        <x:v>FY2026_DEMO</x:v>
      </x:c>
      <x:c r="I17" s="96" t="str">
        <x:f>IF($B17="","",IF(COUNTIF(Account_Map!$A$6:$A$31,$B17)&gt;0,"Mapped","UNMAPPED"))</x:f>
        <x:v>Mapped</x:v>
      </x:c>
    </x:row>
    <x:row r="18">
      <x:c r="A18" s="189" t="n">
        <x:v>46053</x:v>
      </x:c>
      <x:c r="B18" s="54" t="str">
        <x:v>6200</x:v>
      </x:c>
      <x:c r="C18" s="54" t="str">
        <x:v>Research &amp; Development</x:v>
      </x:c>
      <x:c r="D18" s="54" t="str">
        <x:v>Product &amp; Engineering</x:v>
      </x:c>
      <x:c r="E18" s="54" t="str">
        <x:v>P&amp;L Activity</x:v>
      </x:c>
      <x:c r="F18" s="190" t="n">
        <x:v>0.2556</x:v>
      </x:c>
      <x:c r="G18" s="54" t="str">
        <x:v>Synthetic ERP Export</x:v>
      </x:c>
      <x:c r="H18" s="54" t="str">
        <x:v>FY2026_DEMO</x:v>
      </x:c>
      <x:c r="I18" s="96" t="str">
        <x:f>IF($B18="","",IF(COUNTIF(Account_Map!$A$6:$A$31,$B18)&gt;0,"Mapped","UNMAPPED"))</x:f>
        <x:v>Mapped</x:v>
      </x:c>
    </x:row>
    <x:row r="19">
      <x:c r="A19" s="189" t="n">
        <x:v>46053</x:v>
      </x:c>
      <x:c r="B19" s="54" t="str">
        <x:v>6300</x:v>
      </x:c>
      <x:c r="C19" s="54" t="str">
        <x:v>General &amp; Administrative</x:v>
      </x:c>
      <x:c r="D19" s="54" t="str">
        <x:v>Corporate</x:v>
      </x:c>
      <x:c r="E19" s="54" t="str">
        <x:v>P&amp;L Activity</x:v>
      </x:c>
      <x:c r="F19" s="190" t="n">
        <x:v>0.213</x:v>
      </x:c>
      <x:c r="G19" s="54" t="str">
        <x:v>Synthetic ERP Export</x:v>
      </x:c>
      <x:c r="H19" s="54" t="str">
        <x:v>FY2026_DEMO</x:v>
      </x:c>
      <x:c r="I19" s="96" t="str">
        <x:f>IF($B19="","",IF(COUNTIF(Account_Map!$A$6:$A$31,$B19)&gt;0,"Mapped","UNMAPPED"))</x:f>
        <x:v>Mapped</x:v>
      </x:c>
    </x:row>
    <x:row r="20">
      <x:c r="A20" s="189" t="n">
        <x:v>46053</x:v>
      </x:c>
      <x:c r="B20" s="54" t="str">
        <x:v>7000</x:v>
      </x:c>
      <x:c r="C20" s="54" t="str">
        <x:v>Depreciation &amp; Amortization</x:v>
      </x:c>
      <x:c r="D20" s="54" t="str">
        <x:v>Corporate</x:v>
      </x:c>
      <x:c r="E20" s="54" t="str">
        <x:v>P&amp;L Activity</x:v>
      </x:c>
      <x:c r="F20" s="190" t="n">
        <x:v>0.0284</x:v>
      </x:c>
      <x:c r="G20" s="54" t="str">
        <x:v>Synthetic ERP Export</x:v>
      </x:c>
      <x:c r="H20" s="54" t="str">
        <x:v>FY2026_DEMO</x:v>
      </x:c>
      <x:c r="I20" s="96" t="str">
        <x:f>IF($B20="","",IF(COUNTIF(Account_Map!$A$6:$A$31,$B20)&gt;0,"Mapped","UNMAPPED"))</x:f>
        <x:v>Mapped</x:v>
      </x:c>
    </x:row>
    <x:row r="21">
      <x:c r="A21" s="189" t="n">
        <x:v>46053</x:v>
      </x:c>
      <x:c r="B21" s="54" t="str">
        <x:v>7100</x:v>
      </x:c>
      <x:c r="C21" s="54" t="str">
        <x:v>Interest Expense</x:v>
      </x:c>
      <x:c r="D21" s="54" t="str">
        <x:v>Corporate</x:v>
      </x:c>
      <x:c r="E21" s="54" t="str">
        <x:v>P&amp;L Activity</x:v>
      </x:c>
      <x:c r="F21" s="190" t="n">
        <x:v>0.0213</x:v>
      </x:c>
      <x:c r="G21" s="54" t="str">
        <x:v>Synthetic ERP Export</x:v>
      </x:c>
      <x:c r="H21" s="54" t="str">
        <x:v>FY2026_DEMO</x:v>
      </x:c>
      <x:c r="I21" s="96" t="str">
        <x:f>IF($B21="","",IF(COUNTIF(Account_Map!$A$6:$A$31,$B21)&gt;0,"Mapped","UNMAPPED"))</x:f>
        <x:v>Mapped</x:v>
      </x:c>
    </x:row>
    <x:row r="22">
      <x:c r="A22" s="189" t="n">
        <x:v>46053</x:v>
      </x:c>
      <x:c r="B22" s="54" t="str">
        <x:v>7200</x:v>
      </x:c>
      <x:c r="C22" s="54" t="str">
        <x:v>Income Taxes</x:v>
      </x:c>
      <x:c r="D22" s="54" t="str">
        <x:v>Corporate</x:v>
      </x:c>
      <x:c r="E22" s="54" t="str">
        <x:v>P&amp;L Activity</x:v>
      </x:c>
      <x:c r="F22" s="190" t="n">
        <x:v>0.030175</x:v>
      </x:c>
      <x:c r="G22" s="54" t="str">
        <x:v>Synthetic ERP Export</x:v>
      </x:c>
      <x:c r="H22" s="54" t="str">
        <x:v>FY2026_DEMO</x:v>
      </x:c>
      <x:c r="I22" s="96" t="str">
        <x:f>IF($B22="","",IF(COUNTIF(Account_Map!$A$6:$A$31,$B22)&gt;0,"Mapped","UNMAPPED"))</x:f>
        <x:v>Mapped</x:v>
      </x:c>
    </x:row>
    <x:row r="23">
      <x:c r="A23" s="189" t="n">
        <x:v>46081</x:v>
      </x:c>
      <x:c r="B23" s="54" t="str">
        <x:v>1000</x:v>
      </x:c>
      <x:c r="C23" s="54" t="str">
        <x:v>Cash &amp; Cash Equivalents</x:v>
      </x:c>
      <x:c r="D23" s="54" t="str">
        <x:v>Corporate</x:v>
      </x:c>
      <x:c r="E23" s="54" t="str">
        <x:v>BS Snapshot</x:v>
      </x:c>
      <x:c r="F23" s="190" t="n">
        <x:v>3.458333</x:v>
      </x:c>
      <x:c r="G23" s="54" t="str">
        <x:v>Synthetic ERP Export</x:v>
      </x:c>
      <x:c r="H23" s="54" t="str">
        <x:v>FY2026_DEMO</x:v>
      </x:c>
      <x:c r="I23" s="96" t="str">
        <x:f>IF($B23="","",IF(COUNTIF(Account_Map!$A$6:$A$31,$B23)&gt;0,"Mapped","UNMAPPED"))</x:f>
        <x:v>Mapped</x:v>
      </x:c>
    </x:row>
    <x:row r="24">
      <x:c r="A24" s="189" t="n">
        <x:v>46081</x:v>
      </x:c>
      <x:c r="B24" s="54" t="str">
        <x:v>1100</x:v>
      </x:c>
      <x:c r="C24" s="54" t="str">
        <x:v>Accounts Receivable</x:v>
      </x:c>
      <x:c r="D24" s="54" t="str">
        <x:v>Corporate</x:v>
      </x:c>
      <x:c r="E24" s="54" t="str">
        <x:v>BS Snapshot</x:v>
      </x:c>
      <x:c r="F24" s="190" t="n">
        <x:v>2.160959</x:v>
      </x:c>
      <x:c r="G24" s="54" t="str">
        <x:v>Synthetic ERP Export</x:v>
      </x:c>
      <x:c r="H24" s="54" t="str">
        <x:v>FY2026_DEMO</x:v>
      </x:c>
      <x:c r="I24" s="96" t="str">
        <x:f>IF($B24="","",IF(COUNTIF(Account_Map!$A$6:$A$31,$B24)&gt;0,"Mapped","UNMAPPED"))</x:f>
        <x:v>Mapped</x:v>
      </x:c>
    </x:row>
    <x:row r="25">
      <x:c r="A25" s="189" t="n">
        <x:v>46081</x:v>
      </x:c>
      <x:c r="B25" s="54" t="str">
        <x:v>1200</x:v>
      </x:c>
      <x:c r="C25" s="54" t="str">
        <x:v>Other Current Assets</x:v>
      </x:c>
      <x:c r="D25" s="54" t="str">
        <x:v>Corporate</x:v>
      </x:c>
      <x:c r="E25" s="54" t="str">
        <x:v>BS Snapshot</x:v>
      </x:c>
      <x:c r="F25" s="190" t="n">
        <x:v>0.5</x:v>
      </x:c>
      <x:c r="G25" s="54" t="str">
        <x:v>Synthetic ERP Export</x:v>
      </x:c>
      <x:c r="H25" s="54" t="str">
        <x:v>FY2026_DEMO</x:v>
      </x:c>
      <x:c r="I25" s="96" t="str">
        <x:f>IF($B25="","",IF(COUNTIF(Account_Map!$A$6:$A$31,$B25)&gt;0,"Mapped","UNMAPPED"))</x:f>
        <x:v>Mapped</x:v>
      </x:c>
    </x:row>
    <x:row r="26">
      <x:c r="A26" s="189" t="n">
        <x:v>46081</x:v>
      </x:c>
      <x:c r="B26" s="54" t="str">
        <x:v>1500</x:v>
      </x:c>
      <x:c r="C26" s="54" t="str">
        <x:v>PP&amp;E, Net</x:v>
      </x:c>
      <x:c r="D26" s="54" t="str">
        <x:v>Corporate</x:v>
      </x:c>
      <x:c r="E26" s="54" t="str">
        <x:v>BS Snapshot</x:v>
      </x:c>
      <x:c r="F26" s="190" t="n">
        <x:v>1.791667</x:v>
      </x:c>
      <x:c r="G26" s="54" t="str">
        <x:v>Synthetic ERP Export</x:v>
      </x:c>
      <x:c r="H26" s="54" t="str">
        <x:v>FY2026_DEMO</x:v>
      </x:c>
      <x:c r="I26" s="96" t="str">
        <x:f>IF($B26="","",IF(COUNTIF(Account_Map!$A$6:$A$31,$B26)&gt;0,"Mapped","UNMAPPED"))</x:f>
        <x:v>Mapped</x:v>
      </x:c>
    </x:row>
    <x:row r="27">
      <x:c r="A27" s="189" t="n">
        <x:v>46081</x:v>
      </x:c>
      <x:c r="B27" s="54" t="str">
        <x:v>2000</x:v>
      </x:c>
      <x:c r="C27" s="54" t="str">
        <x:v>Accounts Payable</x:v>
      </x:c>
      <x:c r="D27" s="54" t="str">
        <x:v>Corporate</x:v>
      </x:c>
      <x:c r="E27" s="54" t="str">
        <x:v>BS Snapshot</x:v>
      </x:c>
      <x:c r="F27" s="190" t="n">
        <x:v>-0.351826</x:v>
      </x:c>
      <x:c r="G27" s="54" t="str">
        <x:v>Synthetic ERP Export</x:v>
      </x:c>
      <x:c r="H27" s="54" t="str">
        <x:v>FY2026_DEMO</x:v>
      </x:c>
      <x:c r="I27" s="96" t="str">
        <x:f>IF($B27="","",IF(COUNTIF(Account_Map!$A$6:$A$31,$B27)&gt;0,"Mapped","UNMAPPED"))</x:f>
        <x:v>Mapped</x:v>
      </x:c>
    </x:row>
    <x:row r="28">
      <x:c r="A28" s="189" t="n">
        <x:v>46081</x:v>
      </x:c>
      <x:c r="B28" s="54" t="str">
        <x:v>2100</x:v>
      </x:c>
      <x:c r="C28" s="54" t="str">
        <x:v>Accrued Expenses</x:v>
      </x:c>
      <x:c r="D28" s="54" t="str">
        <x:v>Corporate</x:v>
      </x:c>
      <x:c r="E28" s="54" t="str">
        <x:v>BS Snapshot</x:v>
      </x:c>
      <x:c r="F28" s="190" t="n">
        <x:v>-0.893</x:v>
      </x:c>
      <x:c r="G28" s="54" t="str">
        <x:v>Synthetic ERP Export</x:v>
      </x:c>
      <x:c r="H28" s="54" t="str">
        <x:v>FY2026_DEMO</x:v>
      </x:c>
      <x:c r="I28" s="96" t="str">
        <x:f>IF($B28="","",IF(COUNTIF(Account_Map!$A$6:$A$31,$B28)&gt;0,"Mapped","UNMAPPED"))</x:f>
        <x:v>Mapped</x:v>
      </x:c>
    </x:row>
    <x:row r="29">
      <x:c r="A29" s="189" t="n">
        <x:v>46081</x:v>
      </x:c>
      <x:c r="B29" s="54" t="str">
        <x:v>2200</x:v>
      </x:c>
      <x:c r="C29" s="54" t="str">
        <x:v>Deferred Revenue</x:v>
      </x:c>
      <x:c r="D29" s="54" t="str">
        <x:v>Corporate</x:v>
      </x:c>
      <x:c r="E29" s="54" t="str">
        <x:v>BS Snapshot</x:v>
      </x:c>
      <x:c r="F29" s="190" t="n">
        <x:v>-1.75</x:v>
      </x:c>
      <x:c r="G29" s="54" t="str">
        <x:v>Synthetic ERP Export</x:v>
      </x:c>
      <x:c r="H29" s="54" t="str">
        <x:v>FY2026_DEMO</x:v>
      </x:c>
      <x:c r="I29" s="96" t="str">
        <x:f>IF($B29="","",IF(COUNTIF(Account_Map!$A$6:$A$31,$B29)&gt;0,"Mapped","UNMAPPED"))</x:f>
        <x:v>Mapped</x:v>
      </x:c>
    </x:row>
    <x:row r="30">
      <x:c r="A30" s="189" t="n">
        <x:v>46081</x:v>
      </x:c>
      <x:c r="B30" s="54" t="str">
        <x:v>2500</x:v>
      </x:c>
      <x:c r="C30" s="54" t="str">
        <x:v>Debt</x:v>
      </x:c>
      <x:c r="D30" s="54" t="str">
        <x:v>Corporate</x:v>
      </x:c>
      <x:c r="E30" s="54" t="str">
        <x:v>BS Snapshot</x:v>
      </x:c>
      <x:c r="F30" s="190" t="n">
        <x:v>-2.833333</x:v>
      </x:c>
      <x:c r="G30" s="54" t="str">
        <x:v>Synthetic ERP Export</x:v>
      </x:c>
      <x:c r="H30" s="54" t="str">
        <x:v>FY2026_DEMO</x:v>
      </x:c>
      <x:c r="I30" s="96" t="str">
        <x:f>IF($B30="","",IF(COUNTIF(Account_Map!$A$6:$A$31,$B30)&gt;0,"Mapped","UNMAPPED"))</x:f>
        <x:v>Mapped</x:v>
      </x:c>
    </x:row>
    <x:row r="31">
      <x:c r="A31" s="189" t="n">
        <x:v>46081</x:v>
      </x:c>
      <x:c r="B31" s="54" t="str">
        <x:v>3000</x:v>
      </x:c>
      <x:c r="C31" s="54" t="str">
        <x:v>Equity</x:v>
      </x:c>
      <x:c r="D31" s="54" t="str">
        <x:v>Corporate</x:v>
      </x:c>
      <x:c r="E31" s="54" t="str">
        <x:v>BS Snapshot</x:v>
      </x:c>
      <x:c r="F31" s="190" t="n">
        <x:v>-2.191132</x:v>
      </x:c>
      <x:c r="G31" s="54" t="str">
        <x:v>Synthetic ERP Export</x:v>
      </x:c>
      <x:c r="H31" s="54" t="str">
        <x:v>FY2026_DEMO</x:v>
      </x:c>
      <x:c r="I31" s="96" t="str">
        <x:f>IF($B31="","",IF(COUNTIF(Account_Map!$A$6:$A$31,$B31)&gt;0,"Mapped","UNMAPPED"))</x:f>
        <x:v>Mapped</x:v>
      </x:c>
    </x:row>
    <x:row r="32">
      <x:c r="A32" s="189" t="n">
        <x:v>46081</x:v>
      </x:c>
      <x:c r="B32" s="54" t="str">
        <x:v>4000</x:v>
      </x:c>
      <x:c r="C32" s="54" t="str">
        <x:v>Subscription Revenue</x:v>
      </x:c>
      <x:c r="D32" s="54" t="str">
        <x:v>Sales</x:v>
      </x:c>
      <x:c r="E32" s="54" t="str">
        <x:v>P&amp;L Activity</x:v>
      </x:c>
      <x:c r="F32" s="190" t="n">
        <x:v>-1.46</x:v>
      </x:c>
      <x:c r="G32" s="54" t="str">
        <x:v>Synthetic ERP Export</x:v>
      </x:c>
      <x:c r="H32" s="54" t="str">
        <x:v>FY2026_DEMO</x:v>
      </x:c>
      <x:c r="I32" s="96" t="str">
        <x:f>IF($B32="","",IF(COUNTIF(Account_Map!$A$6:$A$31,$B32)&gt;0,"Mapped","UNMAPPED"))</x:f>
        <x:v>Mapped</x:v>
      </x:c>
    </x:row>
    <x:row r="33">
      <x:c r="A33" s="189" t="n">
        <x:v>46081</x:v>
      </x:c>
      <x:c r="B33" s="54" t="str">
        <x:v>5000</x:v>
      </x:c>
      <x:c r="C33" s="54" t="str">
        <x:v>Hosting &amp; Service Delivery</x:v>
      </x:c>
      <x:c r="D33" s="54" t="str">
        <x:v>Operations</x:v>
      </x:c>
      <x:c r="E33" s="54" t="str">
        <x:v>P&amp;L Activity</x:v>
      </x:c>
      <x:c r="F33" s="190" t="n">
        <x:v>0.365</x:v>
      </x:c>
      <x:c r="G33" s="54" t="str">
        <x:v>Synthetic ERP Export</x:v>
      </x:c>
      <x:c r="H33" s="54" t="str">
        <x:v>FY2026_DEMO</x:v>
      </x:c>
      <x:c r="I33" s="96" t="str">
        <x:f>IF($B33="","",IF(COUNTIF(Account_Map!$A$6:$A$31,$B33)&gt;0,"Mapped","UNMAPPED"))</x:f>
        <x:v>Mapped</x:v>
      </x:c>
    </x:row>
    <x:row r="34">
      <x:c r="A34" s="189" t="n">
        <x:v>46081</x:v>
      </x:c>
      <x:c r="B34" s="54" t="str">
        <x:v>6100</x:v>
      </x:c>
      <x:c r="C34" s="54" t="str">
        <x:v>Sales &amp; Marketing</x:v>
      </x:c>
      <x:c r="D34" s="54" t="str">
        <x:v>Sales &amp; Marketing</x:v>
      </x:c>
      <x:c r="E34" s="54" t="str">
        <x:v>P&amp;L Activity</x:v>
      </x:c>
      <x:c r="F34" s="190" t="n">
        <x:v>0.438</x:v>
      </x:c>
      <x:c r="G34" s="54" t="str">
        <x:v>Synthetic ERP Export</x:v>
      </x:c>
      <x:c r="H34" s="54" t="str">
        <x:v>FY2026_DEMO</x:v>
      </x:c>
      <x:c r="I34" s="96" t="str">
        <x:f>IF($B34="","",IF(COUNTIF(Account_Map!$A$6:$A$31,$B34)&gt;0,"Mapped","UNMAPPED"))</x:f>
        <x:v>Mapped</x:v>
      </x:c>
    </x:row>
    <x:row r="35">
      <x:c r="A35" s="189" t="n">
        <x:v>46081</x:v>
      </x:c>
      <x:c r="B35" s="54" t="str">
        <x:v>6200</x:v>
      </x:c>
      <x:c r="C35" s="54" t="str">
        <x:v>Research &amp; Development</x:v>
      </x:c>
      <x:c r="D35" s="54" t="str">
        <x:v>Product &amp; Engineering</x:v>
      </x:c>
      <x:c r="E35" s="54" t="str">
        <x:v>P&amp;L Activity</x:v>
      </x:c>
      <x:c r="F35" s="190" t="n">
        <x:v>0.2628</x:v>
      </x:c>
      <x:c r="G35" s="54" t="str">
        <x:v>Synthetic ERP Export</x:v>
      </x:c>
      <x:c r="H35" s="54" t="str">
        <x:v>FY2026_DEMO</x:v>
      </x:c>
      <x:c r="I35" s="96" t="str">
        <x:f>IF($B35="","",IF(COUNTIF(Account_Map!$A$6:$A$31,$B35)&gt;0,"Mapped","UNMAPPED"))</x:f>
        <x:v>Mapped</x:v>
      </x:c>
    </x:row>
    <x:row r="36">
      <x:c r="A36" s="189" t="n">
        <x:v>46081</x:v>
      </x:c>
      <x:c r="B36" s="54" t="str">
        <x:v>6300</x:v>
      </x:c>
      <x:c r="C36" s="54" t="str">
        <x:v>General &amp; Administrative</x:v>
      </x:c>
      <x:c r="D36" s="54" t="str">
        <x:v>Corporate</x:v>
      </x:c>
      <x:c r="E36" s="54" t="str">
        <x:v>P&amp;L Activity</x:v>
      </x:c>
      <x:c r="F36" s="190" t="n">
        <x:v>0.219</x:v>
      </x:c>
      <x:c r="G36" s="54" t="str">
        <x:v>Synthetic ERP Export</x:v>
      </x:c>
      <x:c r="H36" s="54" t="str">
        <x:v>FY2026_DEMO</x:v>
      </x:c>
      <x:c r="I36" s="96" t="str">
        <x:f>IF($B36="","",IF(COUNTIF(Account_Map!$A$6:$A$31,$B36)&gt;0,"Mapped","UNMAPPED"))</x:f>
        <x:v>Mapped</x:v>
      </x:c>
    </x:row>
    <x:row r="37">
      <x:c r="A37" s="189" t="n">
        <x:v>46081</x:v>
      </x:c>
      <x:c r="B37" s="54" t="str">
        <x:v>7000</x:v>
      </x:c>
      <x:c r="C37" s="54" t="str">
        <x:v>Depreciation &amp; Amortization</x:v>
      </x:c>
      <x:c r="D37" s="54" t="str">
        <x:v>Corporate</x:v>
      </x:c>
      <x:c r="E37" s="54" t="str">
        <x:v>P&amp;L Activity</x:v>
      </x:c>
      <x:c r="F37" s="190" t="n">
        <x:v>0.0292</x:v>
      </x:c>
      <x:c r="G37" s="54" t="str">
        <x:v>Synthetic ERP Export</x:v>
      </x:c>
      <x:c r="H37" s="54" t="str">
        <x:v>FY2026_DEMO</x:v>
      </x:c>
      <x:c r="I37" s="96" t="str">
        <x:f>IF($B37="","",IF(COUNTIF(Account_Map!$A$6:$A$31,$B37)&gt;0,"Mapped","UNMAPPED"))</x:f>
        <x:v>Mapped</x:v>
      </x:c>
    </x:row>
    <x:row r="38">
      <x:c r="A38" s="189" t="n">
        <x:v>46081</x:v>
      </x:c>
      <x:c r="B38" s="54" t="str">
        <x:v>7100</x:v>
      </x:c>
      <x:c r="C38" s="54" t="str">
        <x:v>Interest Expense</x:v>
      </x:c>
      <x:c r="D38" s="54" t="str">
        <x:v>Corporate</x:v>
      </x:c>
      <x:c r="E38" s="54" t="str">
        <x:v>P&amp;L Activity</x:v>
      </x:c>
      <x:c r="F38" s="190" t="n">
        <x:v>0.0219</x:v>
      </x:c>
      <x:c r="G38" s="54" t="str">
        <x:v>Synthetic ERP Export</x:v>
      </x:c>
      <x:c r="H38" s="54" t="str">
        <x:v>FY2026_DEMO</x:v>
      </x:c>
      <x:c r="I38" s="96" t="str">
        <x:f>IF($B38="","",IF(COUNTIF(Account_Map!$A$6:$A$31,$B38)&gt;0,"Mapped","UNMAPPED"))</x:f>
        <x:v>Mapped</x:v>
      </x:c>
    </x:row>
    <x:row r="39">
      <x:c r="A39" s="189" t="n">
        <x:v>46081</x:v>
      </x:c>
      <x:c r="B39" s="54" t="str">
        <x:v>7200</x:v>
      </x:c>
      <x:c r="C39" s="54" t="str">
        <x:v>Income Taxes</x:v>
      </x:c>
      <x:c r="D39" s="54" t="str">
        <x:v>Corporate</x:v>
      </x:c>
      <x:c r="E39" s="54" t="str">
        <x:v>P&amp;L Activity</x:v>
      </x:c>
      <x:c r="F39" s="190" t="n">
        <x:v>0.031025</x:v>
      </x:c>
      <x:c r="G39" s="54" t="str">
        <x:v>Synthetic ERP Export</x:v>
      </x:c>
      <x:c r="H39" s="54" t="str">
        <x:v>FY2026_DEMO</x:v>
      </x:c>
      <x:c r="I39" s="96" t="str">
        <x:f>IF($B39="","",IF(COUNTIF(Account_Map!$A$6:$A$31,$B39)&gt;0,"Mapped","UNMAPPED"))</x:f>
        <x:v>Mapped</x:v>
      </x:c>
    </x:row>
    <x:row r="40">
      <x:c r="A40" s="189" t="n">
        <x:v>46112</x:v>
      </x:c>
      <x:c r="B40" s="54" t="str">
        <x:v>1000</x:v>
      </x:c>
      <x:c r="C40" s="54" t="str">
        <x:v>Cash &amp; Cash Equivalents</x:v>
      </x:c>
      <x:c r="D40" s="54" t="str">
        <x:v>Corporate</x:v>
      </x:c>
      <x:c r="E40" s="54" t="str">
        <x:v>BS Snapshot</x:v>
      </x:c>
      <x:c r="F40" s="190" t="n">
        <x:v>3.5125</x:v>
      </x:c>
      <x:c r="G40" s="54" t="str">
        <x:v>Synthetic ERP Export</x:v>
      </x:c>
      <x:c r="H40" s="54" t="str">
        <x:v>FY2026_DEMO</x:v>
      </x:c>
      <x:c r="I40" s="96" t="str">
        <x:f>IF($B40="","",IF(COUNTIF(Account_Map!$A$6:$A$31,$B40)&gt;0,"Mapped","UNMAPPED"))</x:f>
        <x:v>Mapped</x:v>
      </x:c>
    </x:row>
    <x:row r="41">
      <x:c r="A41" s="189" t="n">
        <x:v>46112</x:v>
      </x:c>
      <x:c r="B41" s="54" t="str">
        <x:v>1100</x:v>
      </x:c>
      <x:c r="C41" s="54" t="str">
        <x:v>Accounts Receivable</x:v>
      </x:c>
      <x:c r="D41" s="54" t="str">
        <x:v>Corporate</x:v>
      </x:c>
      <x:c r="E41" s="54" t="str">
        <x:v>BS Snapshot</x:v>
      </x:c>
      <x:c r="F41" s="190" t="n">
        <x:v>2.191438</x:v>
      </x:c>
      <x:c r="G41" s="54" t="str">
        <x:v>Synthetic ERP Export</x:v>
      </x:c>
      <x:c r="H41" s="54" t="str">
        <x:v>FY2026_DEMO</x:v>
      </x:c>
      <x:c r="I41" s="96" t="str">
        <x:f>IF($B41="","",IF(COUNTIF(Account_Map!$A$6:$A$31,$B41)&gt;0,"Mapped","UNMAPPED"))</x:f>
        <x:v>Mapped</x:v>
      </x:c>
    </x:row>
    <x:row r="42">
      <x:c r="A42" s="189" t="n">
        <x:v>46112</x:v>
      </x:c>
      <x:c r="B42" s="54" t="str">
        <x:v>1200</x:v>
      </x:c>
      <x:c r="C42" s="54" t="str">
        <x:v>Other Current Assets</x:v>
      </x:c>
      <x:c r="D42" s="54" t="str">
        <x:v>Corporate</x:v>
      </x:c>
      <x:c r="E42" s="54" t="str">
        <x:v>BS Snapshot</x:v>
      </x:c>
      <x:c r="F42" s="190" t="n">
        <x:v>0.51</x:v>
      </x:c>
      <x:c r="G42" s="54" t="str">
        <x:v>Synthetic ERP Export</x:v>
      </x:c>
      <x:c r="H42" s="54" t="str">
        <x:v>FY2026_DEMO</x:v>
      </x:c>
      <x:c r="I42" s="96" t="str">
        <x:f>IF($B42="","",IF(COUNTIF(Account_Map!$A$6:$A$31,$B42)&gt;0,"Mapped","UNMAPPED"))</x:f>
        <x:v>Mapped</x:v>
      </x:c>
    </x:row>
    <x:row r="43">
      <x:c r="A43" s="189" t="n">
        <x:v>46112</x:v>
      </x:c>
      <x:c r="B43" s="54" t="str">
        <x:v>1500</x:v>
      </x:c>
      <x:c r="C43" s="54" t="str">
        <x:v>PP&amp;E, Net</x:v>
      </x:c>
      <x:c r="D43" s="54" t="str">
        <x:v>Corporate</x:v>
      </x:c>
      <x:c r="E43" s="54" t="str">
        <x:v>BS Snapshot</x:v>
      </x:c>
      <x:c r="F43" s="190" t="n">
        <x:v>1.8125</x:v>
      </x:c>
      <x:c r="G43" s="54" t="str">
        <x:v>Synthetic ERP Export</x:v>
      </x:c>
      <x:c r="H43" s="54" t="str">
        <x:v>FY2026_DEMO</x:v>
      </x:c>
      <x:c r="I43" s="96" t="str">
        <x:f>IF($B43="","",IF(COUNTIF(Account_Map!$A$6:$A$31,$B43)&gt;0,"Mapped","UNMAPPED"))</x:f>
        <x:v>Mapped</x:v>
      </x:c>
    </x:row>
    <x:row r="44">
      <x:c r="A44" s="189" t="n">
        <x:v>46112</x:v>
      </x:c>
      <x:c r="B44" s="54" t="str">
        <x:v>2000</x:v>
      </x:c>
      <x:c r="C44" s="54" t="str">
        <x:v>Accounts Payable</x:v>
      </x:c>
      <x:c r="D44" s="54" t="str">
        <x:v>Corporate</x:v>
      </x:c>
      <x:c r="E44" s="54" t="str">
        <x:v>BS Snapshot</x:v>
      </x:c>
      <x:c r="F44" s="190" t="n">
        <x:v>-0.35774</x:v>
      </x:c>
      <x:c r="G44" s="54" t="str">
        <x:v>Synthetic ERP Export</x:v>
      </x:c>
      <x:c r="H44" s="54" t="str">
        <x:v>FY2026_DEMO</x:v>
      </x:c>
      <x:c r="I44" s="96" t="str">
        <x:f>IF($B44="","",IF(COUNTIF(Account_Map!$A$6:$A$31,$B44)&gt;0,"Mapped","UNMAPPED"))</x:f>
        <x:v>Mapped</x:v>
      </x:c>
    </x:row>
    <x:row r="45">
      <x:c r="A45" s="189" t="n">
        <x:v>46112</x:v>
      </x:c>
      <x:c r="B45" s="54" t="str">
        <x:v>2100</x:v>
      </x:c>
      <x:c r="C45" s="54" t="str">
        <x:v>Accrued Expenses</x:v>
      </x:c>
      <x:c r="D45" s="54" t="str">
        <x:v>Corporate</x:v>
      </x:c>
      <x:c r="E45" s="54" t="str">
        <x:v>BS Snapshot</x:v>
      </x:c>
      <x:c r="F45" s="190" t="n">
        <x:v>-0.9045</x:v>
      </x:c>
      <x:c r="G45" s="54" t="str">
        <x:v>Synthetic ERP Export</x:v>
      </x:c>
      <x:c r="H45" s="54" t="str">
        <x:v>FY2026_DEMO</x:v>
      </x:c>
      <x:c r="I45" s="96" t="str">
        <x:f>IF($B45="","",IF(COUNTIF(Account_Map!$A$6:$A$31,$B45)&gt;0,"Mapped","UNMAPPED"))</x:f>
        <x:v>Mapped</x:v>
      </x:c>
    </x:row>
    <x:row r="46">
      <x:c r="A46" s="189" t="n">
        <x:v>46112</x:v>
      </x:c>
      <x:c r="B46" s="54" t="str">
        <x:v>2200</x:v>
      </x:c>
      <x:c r="C46" s="54" t="str">
        <x:v>Deferred Revenue</x:v>
      </x:c>
      <x:c r="D46" s="54" t="str">
        <x:v>Corporate</x:v>
      </x:c>
      <x:c r="E46" s="54" t="str">
        <x:v>BS Snapshot</x:v>
      </x:c>
      <x:c r="F46" s="190" t="n">
        <x:v>-1.775</x:v>
      </x:c>
      <x:c r="G46" s="54" t="str">
        <x:v>Synthetic ERP Export</x:v>
      </x:c>
      <x:c r="H46" s="54" t="str">
        <x:v>FY2026_DEMO</x:v>
      </x:c>
      <x:c r="I46" s="96" t="str">
        <x:f>IF($B46="","",IF(COUNTIF(Account_Map!$A$6:$A$31,$B46)&gt;0,"Mapped","UNMAPPED"))</x:f>
        <x:v>Mapped</x:v>
      </x:c>
    </x:row>
    <x:row r="47">
      <x:c r="A47" s="189" t="n">
        <x:v>46112</x:v>
      </x:c>
      <x:c r="B47" s="54" t="str">
        <x:v>2500</x:v>
      </x:c>
      <x:c r="C47" s="54" t="str">
        <x:v>Debt</x:v>
      </x:c>
      <x:c r="D47" s="54" t="str">
        <x:v>Corporate</x:v>
      </x:c>
      <x:c r="E47" s="54" t="str">
        <x:v>BS Snapshot</x:v>
      </x:c>
      <x:c r="F47" s="190" t="n">
        <x:v>-2.8</x:v>
      </x:c>
      <x:c r="G47" s="54" t="str">
        <x:v>Synthetic ERP Export</x:v>
      </x:c>
      <x:c r="H47" s="54" t="str">
        <x:v>FY2026_DEMO</x:v>
      </x:c>
      <x:c r="I47" s="96" t="str">
        <x:f>IF($B47="","",IF(COUNTIF(Account_Map!$A$6:$A$31,$B47)&gt;0,"Mapped","UNMAPPED"))</x:f>
        <x:v>Mapped</x:v>
      </x:c>
    </x:row>
    <x:row r="48">
      <x:c r="A48" s="189" t="n">
        <x:v>46112</x:v>
      </x:c>
      <x:c r="B48" s="54" t="str">
        <x:v>3000</x:v>
      </x:c>
      <x:c r="C48" s="54" t="str">
        <x:v>Equity</x:v>
      </x:c>
      <x:c r="D48" s="54" t="str">
        <x:v>Corporate</x:v>
      </x:c>
      <x:c r="E48" s="54" t="str">
        <x:v>BS Snapshot</x:v>
      </x:c>
      <x:c r="F48" s="190" t="n">
        <x:v>-2.286699</x:v>
      </x:c>
      <x:c r="G48" s="54" t="str">
        <x:v>Synthetic ERP Export</x:v>
      </x:c>
      <x:c r="H48" s="54" t="str">
        <x:v>FY2026_DEMO</x:v>
      </x:c>
      <x:c r="I48" s="96" t="str">
        <x:f>IF($B48="","",IF(COUNTIF(Account_Map!$A$6:$A$31,$B48)&gt;0,"Mapped","UNMAPPED"))</x:f>
        <x:v>Mapped</x:v>
      </x:c>
    </x:row>
    <x:row r="49">
      <x:c r="A49" s="189" t="n">
        <x:v>46112</x:v>
      </x:c>
      <x:c r="B49" s="54" t="str">
        <x:v>4000</x:v>
      </x:c>
      <x:c r="C49" s="54" t="str">
        <x:v>Subscription Revenue</x:v>
      </x:c>
      <x:c r="D49" s="54" t="str">
        <x:v>Sales</x:v>
      </x:c>
      <x:c r="E49" s="54" t="str">
        <x:v>P&amp;L Activity</x:v>
      </x:c>
      <x:c r="F49" s="190" t="n">
        <x:v>-1.5</x:v>
      </x:c>
      <x:c r="G49" s="54" t="str">
        <x:v>Synthetic ERP Export</x:v>
      </x:c>
      <x:c r="H49" s="54" t="str">
        <x:v>FY2026_DEMO</x:v>
      </x:c>
      <x:c r="I49" s="96" t="str">
        <x:f>IF($B49="","",IF(COUNTIF(Account_Map!$A$6:$A$31,$B49)&gt;0,"Mapped","UNMAPPED"))</x:f>
        <x:v>Mapped</x:v>
      </x:c>
    </x:row>
    <x:row r="50">
      <x:c r="A50" s="189" t="n">
        <x:v>46112</x:v>
      </x:c>
      <x:c r="B50" s="54" t="str">
        <x:v>5000</x:v>
      </x:c>
      <x:c r="C50" s="54" t="str">
        <x:v>Hosting &amp; Service Delivery</x:v>
      </x:c>
      <x:c r="D50" s="54" t="str">
        <x:v>Operations</x:v>
      </x:c>
      <x:c r="E50" s="54" t="str">
        <x:v>P&amp;L Activity</x:v>
      </x:c>
      <x:c r="F50" s="190" t="n">
        <x:v>0.375</x:v>
      </x:c>
      <x:c r="G50" s="54" t="str">
        <x:v>Synthetic ERP Export</x:v>
      </x:c>
      <x:c r="H50" s="54" t="str">
        <x:v>FY2026_DEMO</x:v>
      </x:c>
      <x:c r="I50" s="96" t="str">
        <x:f>IF($B50="","",IF(COUNTIF(Account_Map!$A$6:$A$31,$B50)&gt;0,"Mapped","UNMAPPED"))</x:f>
        <x:v>Mapped</x:v>
      </x:c>
    </x:row>
    <x:row r="51">
      <x:c r="A51" s="189" t="n">
        <x:v>46112</x:v>
      </x:c>
      <x:c r="B51" s="54" t="str">
        <x:v>6100</x:v>
      </x:c>
      <x:c r="C51" s="54" t="str">
        <x:v>Sales &amp; Marketing</x:v>
      </x:c>
      <x:c r="D51" s="54" t="str">
        <x:v>Sales &amp; Marketing</x:v>
      </x:c>
      <x:c r="E51" s="54" t="str">
        <x:v>P&amp;L Activity</x:v>
      </x:c>
      <x:c r="F51" s="190" t="n">
        <x:v>0.45</x:v>
      </x:c>
      <x:c r="G51" s="54" t="str">
        <x:v>Synthetic ERP Export</x:v>
      </x:c>
      <x:c r="H51" s="54" t="str">
        <x:v>FY2026_DEMO</x:v>
      </x:c>
      <x:c r="I51" s="96" t="str">
        <x:f>IF($B51="","",IF(COUNTIF(Account_Map!$A$6:$A$31,$B51)&gt;0,"Mapped","UNMAPPED"))</x:f>
        <x:v>Mapped</x:v>
      </x:c>
    </x:row>
    <x:row r="52">
      <x:c r="A52" s="189" t="n">
        <x:v>46112</x:v>
      </x:c>
      <x:c r="B52" s="54" t="str">
        <x:v>6200</x:v>
      </x:c>
      <x:c r="C52" s="54" t="str">
        <x:v>Research &amp; Development</x:v>
      </x:c>
      <x:c r="D52" s="54" t="str">
        <x:v>Product &amp; Engineering</x:v>
      </x:c>
      <x:c r="E52" s="54" t="str">
        <x:v>P&amp;L Activity</x:v>
      </x:c>
      <x:c r="F52" s="190" t="n">
        <x:v>0.27</x:v>
      </x:c>
      <x:c r="G52" s="54" t="str">
        <x:v>Synthetic ERP Export</x:v>
      </x:c>
      <x:c r="H52" s="54" t="str">
        <x:v>FY2026_DEMO</x:v>
      </x:c>
      <x:c r="I52" s="96" t="str">
        <x:f>IF($B52="","",IF(COUNTIF(Account_Map!$A$6:$A$31,$B52)&gt;0,"Mapped","UNMAPPED"))</x:f>
        <x:v>Mapped</x:v>
      </x:c>
    </x:row>
    <x:row r="53">
      <x:c r="A53" s="189" t="n">
        <x:v>46112</x:v>
      </x:c>
      <x:c r="B53" s="54" t="str">
        <x:v>6300</x:v>
      </x:c>
      <x:c r="C53" s="54" t="str">
        <x:v>General &amp; Administrative</x:v>
      </x:c>
      <x:c r="D53" s="54" t="str">
        <x:v>Corporate</x:v>
      </x:c>
      <x:c r="E53" s="54" t="str">
        <x:v>P&amp;L Activity</x:v>
      </x:c>
      <x:c r="F53" s="190" t="n">
        <x:v>0.225</x:v>
      </x:c>
      <x:c r="G53" s="54" t="str">
        <x:v>Synthetic ERP Export</x:v>
      </x:c>
      <x:c r="H53" s="54" t="str">
        <x:v>FY2026_DEMO</x:v>
      </x:c>
      <x:c r="I53" s="96" t="str">
        <x:f>IF($B53="","",IF(COUNTIF(Account_Map!$A$6:$A$31,$B53)&gt;0,"Mapped","UNMAPPED"))</x:f>
        <x:v>Mapped</x:v>
      </x:c>
    </x:row>
    <x:row r="54">
      <x:c r="A54" s="189" t="n">
        <x:v>46112</x:v>
      </x:c>
      <x:c r="B54" s="54" t="str">
        <x:v>7000</x:v>
      </x:c>
      <x:c r="C54" s="54" t="str">
        <x:v>Depreciation &amp; Amortization</x:v>
      </x:c>
      <x:c r="D54" s="54" t="str">
        <x:v>Corporate</x:v>
      </x:c>
      <x:c r="E54" s="54" t="str">
        <x:v>P&amp;L Activity</x:v>
      </x:c>
      <x:c r="F54" s="190" t="n">
        <x:v>0.03</x:v>
      </x:c>
      <x:c r="G54" s="54" t="str">
        <x:v>Synthetic ERP Export</x:v>
      </x:c>
      <x:c r="H54" s="54" t="str">
        <x:v>FY2026_DEMO</x:v>
      </x:c>
      <x:c r="I54" s="96" t="str">
        <x:f>IF($B54="","",IF(COUNTIF(Account_Map!$A$6:$A$31,$B54)&gt;0,"Mapped","UNMAPPED"))</x:f>
        <x:v>Mapped</x:v>
      </x:c>
    </x:row>
    <x:row r="55">
      <x:c r="A55" s="189" t="n">
        <x:v>46112</x:v>
      </x:c>
      <x:c r="B55" s="54" t="str">
        <x:v>7100</x:v>
      </x:c>
      <x:c r="C55" s="54" t="str">
        <x:v>Interest Expense</x:v>
      </x:c>
      <x:c r="D55" s="54" t="str">
        <x:v>Corporate</x:v>
      </x:c>
      <x:c r="E55" s="54" t="str">
        <x:v>P&amp;L Activity</x:v>
      </x:c>
      <x:c r="F55" s="190" t="n">
        <x:v>0.0225</x:v>
      </x:c>
      <x:c r="G55" s="54" t="str">
        <x:v>Synthetic ERP Export</x:v>
      </x:c>
      <x:c r="H55" s="54" t="str">
        <x:v>FY2026_DEMO</x:v>
      </x:c>
      <x:c r="I55" s="96" t="str">
        <x:f>IF($B55="","",IF(COUNTIF(Account_Map!$A$6:$A$31,$B55)&gt;0,"Mapped","UNMAPPED"))</x:f>
        <x:v>Mapped</x:v>
      </x:c>
    </x:row>
    <x:row r="56">
      <x:c r="A56" s="189" t="n">
        <x:v>46112</x:v>
      </x:c>
      <x:c r="B56" s="54" t="str">
        <x:v>7200</x:v>
      </x:c>
      <x:c r="C56" s="54" t="str">
        <x:v>Income Taxes</x:v>
      </x:c>
      <x:c r="D56" s="54" t="str">
        <x:v>Corporate</x:v>
      </x:c>
      <x:c r="E56" s="54" t="str">
        <x:v>P&amp;L Activity</x:v>
      </x:c>
      <x:c r="F56" s="190" t="n">
        <x:v>0.031875</x:v>
      </x:c>
      <x:c r="G56" s="54" t="str">
        <x:v>Synthetic ERP Export</x:v>
      </x:c>
      <x:c r="H56" s="54" t="str">
        <x:v>FY2026_DEMO</x:v>
      </x:c>
      <x:c r="I56" s="96" t="str">
        <x:f>IF($B56="","",IF(COUNTIF(Account_Map!$A$6:$A$31,$B56)&gt;0,"Mapped","UNMAPPED"))</x:f>
        <x:v>Mapped</x:v>
      </x:c>
    </x:row>
    <x:row r="57">
      <x:c r="A57" s="189" t="n">
        <x:v>46142</x:v>
      </x:c>
      <x:c r="B57" s="54" t="str">
        <x:v>1000</x:v>
      </x:c>
      <x:c r="C57" s="54" t="str">
        <x:v>Cash &amp; Cash Equivalents</x:v>
      </x:c>
      <x:c r="D57" s="54" t="str">
        <x:v>Corporate</x:v>
      </x:c>
      <x:c r="E57" s="54" t="str">
        <x:v>BS Snapshot</x:v>
      </x:c>
      <x:c r="F57" s="190" t="n">
        <x:v>3.566667</x:v>
      </x:c>
      <x:c r="G57" s="54" t="str">
        <x:v>Synthetic ERP Export</x:v>
      </x:c>
      <x:c r="H57" s="54" t="str">
        <x:v>FY2026_DEMO</x:v>
      </x:c>
      <x:c r="I57" s="96" t="str">
        <x:f>IF($B57="","",IF(COUNTIF(Account_Map!$A$6:$A$31,$B57)&gt;0,"Mapped","UNMAPPED"))</x:f>
        <x:v>Mapped</x:v>
      </x:c>
    </x:row>
    <x:row r="58">
      <x:c r="A58" s="189" t="n">
        <x:v>46142</x:v>
      </x:c>
      <x:c r="B58" s="54" t="str">
        <x:v>1100</x:v>
      </x:c>
      <x:c r="C58" s="54" t="str">
        <x:v>Accounts Receivable</x:v>
      </x:c>
      <x:c r="D58" s="54" t="str">
        <x:v>Corporate</x:v>
      </x:c>
      <x:c r="E58" s="54" t="str">
        <x:v>BS Snapshot</x:v>
      </x:c>
      <x:c r="F58" s="190" t="n">
        <x:v>2.221918</x:v>
      </x:c>
      <x:c r="G58" s="54" t="str">
        <x:v>Synthetic ERP Export</x:v>
      </x:c>
      <x:c r="H58" s="54" t="str">
        <x:v>FY2026_DEMO</x:v>
      </x:c>
      <x:c r="I58" s="96" t="str">
        <x:f>IF($B58="","",IF(COUNTIF(Account_Map!$A$6:$A$31,$B58)&gt;0,"Mapped","UNMAPPED"))</x:f>
        <x:v>Mapped</x:v>
      </x:c>
    </x:row>
    <x:row r="59">
      <x:c r="A59" s="189" t="n">
        <x:v>46142</x:v>
      </x:c>
      <x:c r="B59" s="54" t="str">
        <x:v>1200</x:v>
      </x:c>
      <x:c r="C59" s="54" t="str">
        <x:v>Other Current Assets</x:v>
      </x:c>
      <x:c r="D59" s="54" t="str">
        <x:v>Corporate</x:v>
      </x:c>
      <x:c r="E59" s="54" t="str">
        <x:v>BS Snapshot</x:v>
      </x:c>
      <x:c r="F59" s="190" t="n">
        <x:v>0.52</x:v>
      </x:c>
      <x:c r="G59" s="54" t="str">
        <x:v>Synthetic ERP Export</x:v>
      </x:c>
      <x:c r="H59" s="54" t="str">
        <x:v>FY2026_DEMO</x:v>
      </x:c>
      <x:c r="I59" s="96" t="str">
        <x:f>IF($B59="","",IF(COUNTIF(Account_Map!$A$6:$A$31,$B59)&gt;0,"Mapped","UNMAPPED"))</x:f>
        <x:v>Mapped</x:v>
      </x:c>
    </x:row>
    <x:row r="60">
      <x:c r="A60" s="189" t="n">
        <x:v>46142</x:v>
      </x:c>
      <x:c r="B60" s="54" t="str">
        <x:v>1500</x:v>
      </x:c>
      <x:c r="C60" s="54" t="str">
        <x:v>PP&amp;E, Net</x:v>
      </x:c>
      <x:c r="D60" s="54" t="str">
        <x:v>Corporate</x:v>
      </x:c>
      <x:c r="E60" s="54" t="str">
        <x:v>BS Snapshot</x:v>
      </x:c>
      <x:c r="F60" s="190" t="n">
        <x:v>1.833333</x:v>
      </x:c>
      <x:c r="G60" s="54" t="str">
        <x:v>Synthetic ERP Export</x:v>
      </x:c>
      <x:c r="H60" s="54" t="str">
        <x:v>FY2026_DEMO</x:v>
      </x:c>
      <x:c r="I60" s="96" t="str">
        <x:f>IF($B60="","",IF(COUNTIF(Account_Map!$A$6:$A$31,$B60)&gt;0,"Mapped","UNMAPPED"))</x:f>
        <x:v>Mapped</x:v>
      </x:c>
    </x:row>
    <x:row r="61">
      <x:c r="A61" s="189" t="n">
        <x:v>46142</x:v>
      </x:c>
      <x:c r="B61" s="54" t="str">
        <x:v>2000</x:v>
      </x:c>
      <x:c r="C61" s="54" t="str">
        <x:v>Accounts Payable</x:v>
      </x:c>
      <x:c r="D61" s="54" t="str">
        <x:v>Corporate</x:v>
      </x:c>
      <x:c r="E61" s="54" t="str">
        <x:v>BS Snapshot</x:v>
      </x:c>
      <x:c r="F61" s="190" t="n">
        <x:v>-0.363653</x:v>
      </x:c>
      <x:c r="G61" s="54" t="str">
        <x:v>Synthetic ERP Export</x:v>
      </x:c>
      <x:c r="H61" s="54" t="str">
        <x:v>FY2026_DEMO</x:v>
      </x:c>
      <x:c r="I61" s="96" t="str">
        <x:f>IF($B61="","",IF(COUNTIF(Account_Map!$A$6:$A$31,$B61)&gt;0,"Mapped","UNMAPPED"))</x:f>
        <x:v>Mapped</x:v>
      </x:c>
    </x:row>
    <x:row r="62">
      <x:c r="A62" s="189" t="n">
        <x:v>46142</x:v>
      </x:c>
      <x:c r="B62" s="54" t="str">
        <x:v>2100</x:v>
      </x:c>
      <x:c r="C62" s="54" t="str">
        <x:v>Accrued Expenses</x:v>
      </x:c>
      <x:c r="D62" s="54" t="str">
        <x:v>Corporate</x:v>
      </x:c>
      <x:c r="E62" s="54" t="str">
        <x:v>BS Snapshot</x:v>
      </x:c>
      <x:c r="F62" s="190" t="n">
        <x:v>-0.916</x:v>
      </x:c>
      <x:c r="G62" s="54" t="str">
        <x:v>Synthetic ERP Export</x:v>
      </x:c>
      <x:c r="H62" s="54" t="str">
        <x:v>FY2026_DEMO</x:v>
      </x:c>
      <x:c r="I62" s="96" t="str">
        <x:f>IF($B62="","",IF(COUNTIF(Account_Map!$A$6:$A$31,$B62)&gt;0,"Mapped","UNMAPPED"))</x:f>
        <x:v>Mapped</x:v>
      </x:c>
    </x:row>
    <x:row r="63">
      <x:c r="A63" s="189" t="n">
        <x:v>46142</x:v>
      </x:c>
      <x:c r="B63" s="54" t="str">
        <x:v>2200</x:v>
      </x:c>
      <x:c r="C63" s="54" t="str">
        <x:v>Deferred Revenue</x:v>
      </x:c>
      <x:c r="D63" s="54" t="str">
        <x:v>Corporate</x:v>
      </x:c>
      <x:c r="E63" s="54" t="str">
        <x:v>BS Snapshot</x:v>
      </x:c>
      <x:c r="F63" s="190" t="n">
        <x:v>-1.8</x:v>
      </x:c>
      <x:c r="G63" s="54" t="str">
        <x:v>Synthetic ERP Export</x:v>
      </x:c>
      <x:c r="H63" s="54" t="str">
        <x:v>FY2026_DEMO</x:v>
      </x:c>
      <x:c r="I63" s="96" t="str">
        <x:f>IF($B63="","",IF(COUNTIF(Account_Map!$A$6:$A$31,$B63)&gt;0,"Mapped","UNMAPPED"))</x:f>
        <x:v>Mapped</x:v>
      </x:c>
    </x:row>
    <x:row r="64">
      <x:c r="A64" s="189" t="n">
        <x:v>46142</x:v>
      </x:c>
      <x:c r="B64" s="54" t="str">
        <x:v>2500</x:v>
      </x:c>
      <x:c r="C64" s="54" t="str">
        <x:v>Debt</x:v>
      </x:c>
      <x:c r="D64" s="54" t="str">
        <x:v>Corporate</x:v>
      </x:c>
      <x:c r="E64" s="54" t="str">
        <x:v>BS Snapshot</x:v>
      </x:c>
      <x:c r="F64" s="190" t="n">
        <x:v>-2.766667</x:v>
      </x:c>
      <x:c r="G64" s="54" t="str">
        <x:v>Synthetic ERP Export</x:v>
      </x:c>
      <x:c r="H64" s="54" t="str">
        <x:v>FY2026_DEMO</x:v>
      </x:c>
      <x:c r="I64" s="96" t="str">
        <x:f>IF($B64="","",IF(COUNTIF(Account_Map!$A$6:$A$31,$B64)&gt;0,"Mapped","UNMAPPED"))</x:f>
        <x:v>Mapped</x:v>
      </x:c>
    </x:row>
    <x:row r="65">
      <x:c r="A65" s="189" t="n">
        <x:v>46142</x:v>
      </x:c>
      <x:c r="B65" s="54" t="str">
        <x:v>3000</x:v>
      </x:c>
      <x:c r="C65" s="54" t="str">
        <x:v>Equity</x:v>
      </x:c>
      <x:c r="D65" s="54" t="str">
        <x:v>Corporate</x:v>
      </x:c>
      <x:c r="E65" s="54" t="str">
        <x:v>BS Snapshot</x:v>
      </x:c>
      <x:c r="F65" s="190" t="n">
        <x:v>-2.382265</x:v>
      </x:c>
      <x:c r="G65" s="54" t="str">
        <x:v>Synthetic ERP Export</x:v>
      </x:c>
      <x:c r="H65" s="54" t="str">
        <x:v>FY2026_DEMO</x:v>
      </x:c>
      <x:c r="I65" s="96" t="str">
        <x:f>IF($B65="","",IF(COUNTIF(Account_Map!$A$6:$A$31,$B65)&gt;0,"Mapped","UNMAPPED"))</x:f>
        <x:v>Mapped</x:v>
      </x:c>
    </x:row>
    <x:row r="66">
      <x:c r="A66" s="189" t="n">
        <x:v>46142</x:v>
      </x:c>
      <x:c r="B66" s="54" t="str">
        <x:v>4000</x:v>
      </x:c>
      <x:c r="C66" s="54" t="str">
        <x:v>Subscription Revenue</x:v>
      </x:c>
      <x:c r="D66" s="54" t="str">
        <x:v>Sales</x:v>
      </x:c>
      <x:c r="E66" s="54" t="str">
        <x:v>P&amp;L Activity</x:v>
      </x:c>
      <x:c r="F66" s="190" t="n">
        <x:v>-1.54</x:v>
      </x:c>
      <x:c r="G66" s="54" t="str">
        <x:v>Synthetic ERP Export</x:v>
      </x:c>
      <x:c r="H66" s="54" t="str">
        <x:v>FY2026_DEMO</x:v>
      </x:c>
      <x:c r="I66" s="96" t="str">
        <x:f>IF($B66="","",IF(COUNTIF(Account_Map!$A$6:$A$31,$B66)&gt;0,"Mapped","UNMAPPED"))</x:f>
        <x:v>Mapped</x:v>
      </x:c>
    </x:row>
    <x:row r="67">
      <x:c r="A67" s="189" t="n">
        <x:v>46142</x:v>
      </x:c>
      <x:c r="B67" s="54" t="str">
        <x:v>5000</x:v>
      </x:c>
      <x:c r="C67" s="54" t="str">
        <x:v>Hosting &amp; Service Delivery</x:v>
      </x:c>
      <x:c r="D67" s="54" t="str">
        <x:v>Operations</x:v>
      </x:c>
      <x:c r="E67" s="54" t="str">
        <x:v>P&amp;L Activity</x:v>
      </x:c>
      <x:c r="F67" s="190" t="n">
        <x:v>0.385</x:v>
      </x:c>
      <x:c r="G67" s="54" t="str">
        <x:v>Synthetic ERP Export</x:v>
      </x:c>
      <x:c r="H67" s="54" t="str">
        <x:v>FY2026_DEMO</x:v>
      </x:c>
      <x:c r="I67" s="96" t="str">
        <x:f>IF($B67="","",IF(COUNTIF(Account_Map!$A$6:$A$31,$B67)&gt;0,"Mapped","UNMAPPED"))</x:f>
        <x:v>Mapped</x:v>
      </x:c>
    </x:row>
    <x:row r="68">
      <x:c r="A68" s="189" t="n">
        <x:v>46142</x:v>
      </x:c>
      <x:c r="B68" s="54" t="str">
        <x:v>6100</x:v>
      </x:c>
      <x:c r="C68" s="54" t="str">
        <x:v>Sales &amp; Marketing</x:v>
      </x:c>
      <x:c r="D68" s="54" t="str">
        <x:v>Sales &amp; Marketing</x:v>
      </x:c>
      <x:c r="E68" s="54" t="str">
        <x:v>P&amp;L Activity</x:v>
      </x:c>
      <x:c r="F68" s="190" t="n">
        <x:v>0.462</x:v>
      </x:c>
      <x:c r="G68" s="54" t="str">
        <x:v>Synthetic ERP Export</x:v>
      </x:c>
      <x:c r="H68" s="54" t="str">
        <x:v>FY2026_DEMO</x:v>
      </x:c>
      <x:c r="I68" s="96" t="str">
        <x:f>IF($B68="","",IF(COUNTIF(Account_Map!$A$6:$A$31,$B68)&gt;0,"Mapped","UNMAPPED"))</x:f>
        <x:v>Mapped</x:v>
      </x:c>
    </x:row>
    <x:row r="69">
      <x:c r="A69" s="189" t="n">
        <x:v>46142</x:v>
      </x:c>
      <x:c r="B69" s="54" t="str">
        <x:v>6200</x:v>
      </x:c>
      <x:c r="C69" s="54" t="str">
        <x:v>Research &amp; Development</x:v>
      </x:c>
      <x:c r="D69" s="54" t="str">
        <x:v>Product &amp; Engineering</x:v>
      </x:c>
      <x:c r="E69" s="54" t="str">
        <x:v>P&amp;L Activity</x:v>
      </x:c>
      <x:c r="F69" s="190" t="n">
        <x:v>0.2772</x:v>
      </x:c>
      <x:c r="G69" s="54" t="str">
        <x:v>Synthetic ERP Export</x:v>
      </x:c>
      <x:c r="H69" s="54" t="str">
        <x:v>FY2026_DEMO</x:v>
      </x:c>
      <x:c r="I69" s="96" t="str">
        <x:f>IF($B69="","",IF(COUNTIF(Account_Map!$A$6:$A$31,$B69)&gt;0,"Mapped","UNMAPPED"))</x:f>
        <x:v>Mapped</x:v>
      </x:c>
    </x:row>
    <x:row r="70">
      <x:c r="A70" s="189" t="n">
        <x:v>46142</x:v>
      </x:c>
      <x:c r="B70" s="54" t="str">
        <x:v>6300</x:v>
      </x:c>
      <x:c r="C70" s="54" t="str">
        <x:v>General &amp; Administrative</x:v>
      </x:c>
      <x:c r="D70" s="54" t="str">
        <x:v>Corporate</x:v>
      </x:c>
      <x:c r="E70" s="54" t="str">
        <x:v>P&amp;L Activity</x:v>
      </x:c>
      <x:c r="F70" s="190" t="n">
        <x:v>0.231</x:v>
      </x:c>
      <x:c r="G70" s="54" t="str">
        <x:v>Synthetic ERP Export</x:v>
      </x:c>
      <x:c r="H70" s="54" t="str">
        <x:v>FY2026_DEMO</x:v>
      </x:c>
      <x:c r="I70" s="96" t="str">
        <x:f>IF($B70="","",IF(COUNTIF(Account_Map!$A$6:$A$31,$B70)&gt;0,"Mapped","UNMAPPED"))</x:f>
        <x:v>Mapped</x:v>
      </x:c>
    </x:row>
    <x:row r="71">
      <x:c r="A71" s="189" t="n">
        <x:v>46142</x:v>
      </x:c>
      <x:c r="B71" s="54" t="str">
        <x:v>7000</x:v>
      </x:c>
      <x:c r="C71" s="54" t="str">
        <x:v>Depreciation &amp; Amortization</x:v>
      </x:c>
      <x:c r="D71" s="54" t="str">
        <x:v>Corporate</x:v>
      </x:c>
      <x:c r="E71" s="54" t="str">
        <x:v>P&amp;L Activity</x:v>
      </x:c>
      <x:c r="F71" s="190" t="n">
        <x:v>0.0308</x:v>
      </x:c>
      <x:c r="G71" s="54" t="str">
        <x:v>Synthetic ERP Export</x:v>
      </x:c>
      <x:c r="H71" s="54" t="str">
        <x:v>FY2026_DEMO</x:v>
      </x:c>
      <x:c r="I71" s="96" t="str">
        <x:f>IF($B71="","",IF(COUNTIF(Account_Map!$A$6:$A$31,$B71)&gt;0,"Mapped","UNMAPPED"))</x:f>
        <x:v>Mapped</x:v>
      </x:c>
    </x:row>
    <x:row r="72">
      <x:c r="A72" s="189" t="n">
        <x:v>46142</x:v>
      </x:c>
      <x:c r="B72" s="54" t="str">
        <x:v>7100</x:v>
      </x:c>
      <x:c r="C72" s="54" t="str">
        <x:v>Interest Expense</x:v>
      </x:c>
      <x:c r="D72" s="54" t="str">
        <x:v>Corporate</x:v>
      </x:c>
      <x:c r="E72" s="54" t="str">
        <x:v>P&amp;L Activity</x:v>
      </x:c>
      <x:c r="F72" s="190" t="n">
        <x:v>0.0231</x:v>
      </x:c>
      <x:c r="G72" s="54" t="str">
        <x:v>Synthetic ERP Export</x:v>
      </x:c>
      <x:c r="H72" s="54" t="str">
        <x:v>FY2026_DEMO</x:v>
      </x:c>
      <x:c r="I72" s="96" t="str">
        <x:f>IF($B72="","",IF(COUNTIF(Account_Map!$A$6:$A$31,$B72)&gt;0,"Mapped","UNMAPPED"))</x:f>
        <x:v>Mapped</x:v>
      </x:c>
    </x:row>
    <x:row r="73">
      <x:c r="A73" s="189" t="n">
        <x:v>46142</x:v>
      </x:c>
      <x:c r="B73" s="54" t="str">
        <x:v>7200</x:v>
      </x:c>
      <x:c r="C73" s="54" t="str">
        <x:v>Income Taxes</x:v>
      </x:c>
      <x:c r="D73" s="54" t="str">
        <x:v>Corporate</x:v>
      </x:c>
      <x:c r="E73" s="54" t="str">
        <x:v>P&amp;L Activity</x:v>
      </x:c>
      <x:c r="F73" s="190" t="n">
        <x:v>0.032725</x:v>
      </x:c>
      <x:c r="G73" s="54" t="str">
        <x:v>Synthetic ERP Export</x:v>
      </x:c>
      <x:c r="H73" s="54" t="str">
        <x:v>FY2026_DEMO</x:v>
      </x:c>
      <x:c r="I73" s="96" t="str">
        <x:f>IF($B73="","",IF(COUNTIF(Account_Map!$A$6:$A$31,$B73)&gt;0,"Mapped","UNMAPPED"))</x:f>
        <x:v>Mapped</x:v>
      </x:c>
    </x:row>
    <x:row r="74">
      <x:c r="A74" s="189" t="n">
        <x:v>46173</x:v>
      </x:c>
      <x:c r="B74" s="54" t="str">
        <x:v>1000</x:v>
      </x:c>
      <x:c r="C74" s="54" t="str">
        <x:v>Cash &amp; Cash Equivalents</x:v>
      </x:c>
      <x:c r="D74" s="54" t="str">
        <x:v>Corporate</x:v>
      </x:c>
      <x:c r="E74" s="54" t="str">
        <x:v>BS Snapshot</x:v>
      </x:c>
      <x:c r="F74" s="190" t="n">
        <x:v>3.620833</x:v>
      </x:c>
      <x:c r="G74" s="54" t="str">
        <x:v>Synthetic ERP Export</x:v>
      </x:c>
      <x:c r="H74" s="54" t="str">
        <x:v>FY2026_DEMO</x:v>
      </x:c>
      <x:c r="I74" s="96" t="str">
        <x:f>IF($B74="","",IF(COUNTIF(Account_Map!$A$6:$A$31,$B74)&gt;0,"Mapped","UNMAPPED"))</x:f>
        <x:v>Mapped</x:v>
      </x:c>
    </x:row>
    <x:row r="75">
      <x:c r="A75" s="189" t="n">
        <x:v>46173</x:v>
      </x:c>
      <x:c r="B75" s="54" t="str">
        <x:v>1100</x:v>
      </x:c>
      <x:c r="C75" s="54" t="str">
        <x:v>Accounts Receivable</x:v>
      </x:c>
      <x:c r="D75" s="54" t="str">
        <x:v>Corporate</x:v>
      </x:c>
      <x:c r="E75" s="54" t="str">
        <x:v>BS Snapshot</x:v>
      </x:c>
      <x:c r="F75" s="190" t="n">
        <x:v>2.252397</x:v>
      </x:c>
      <x:c r="G75" s="54" t="str">
        <x:v>Synthetic ERP Export</x:v>
      </x:c>
      <x:c r="H75" s="54" t="str">
        <x:v>FY2026_DEMO</x:v>
      </x:c>
      <x:c r="I75" s="96" t="str">
        <x:f>IF($B75="","",IF(COUNTIF(Account_Map!$A$6:$A$31,$B75)&gt;0,"Mapped","UNMAPPED"))</x:f>
        <x:v>Mapped</x:v>
      </x:c>
    </x:row>
    <x:row r="76">
      <x:c r="A76" s="189" t="n">
        <x:v>46173</x:v>
      </x:c>
      <x:c r="B76" s="54" t="str">
        <x:v>1200</x:v>
      </x:c>
      <x:c r="C76" s="54" t="str">
        <x:v>Other Current Assets</x:v>
      </x:c>
      <x:c r="D76" s="54" t="str">
        <x:v>Corporate</x:v>
      </x:c>
      <x:c r="E76" s="54" t="str">
        <x:v>BS Snapshot</x:v>
      </x:c>
      <x:c r="F76" s="190" t="n">
        <x:v>0.53</x:v>
      </x:c>
      <x:c r="G76" s="54" t="str">
        <x:v>Synthetic ERP Export</x:v>
      </x:c>
      <x:c r="H76" s="54" t="str">
        <x:v>FY2026_DEMO</x:v>
      </x:c>
      <x:c r="I76" s="96" t="str">
        <x:f>IF($B76="","",IF(COUNTIF(Account_Map!$A$6:$A$31,$B76)&gt;0,"Mapped","UNMAPPED"))</x:f>
        <x:v>Mapped</x:v>
      </x:c>
    </x:row>
    <x:row r="77">
      <x:c r="A77" s="189" t="n">
        <x:v>46173</x:v>
      </x:c>
      <x:c r="B77" s="54" t="str">
        <x:v>1500</x:v>
      </x:c>
      <x:c r="C77" s="54" t="str">
        <x:v>PP&amp;E, Net</x:v>
      </x:c>
      <x:c r="D77" s="54" t="str">
        <x:v>Corporate</x:v>
      </x:c>
      <x:c r="E77" s="54" t="str">
        <x:v>BS Snapshot</x:v>
      </x:c>
      <x:c r="F77" s="190" t="n">
        <x:v>1.854167</x:v>
      </x:c>
      <x:c r="G77" s="54" t="str">
        <x:v>Synthetic ERP Export</x:v>
      </x:c>
      <x:c r="H77" s="54" t="str">
        <x:v>FY2026_DEMO</x:v>
      </x:c>
      <x:c r="I77" s="96" t="str">
        <x:f>IF($B77="","",IF(COUNTIF(Account_Map!$A$6:$A$31,$B77)&gt;0,"Mapped","UNMAPPED"))</x:f>
        <x:v>Mapped</x:v>
      </x:c>
    </x:row>
    <x:row r="78">
      <x:c r="A78" s="189" t="n">
        <x:v>46173</x:v>
      </x:c>
      <x:c r="B78" s="54" t="str">
        <x:v>2000</x:v>
      </x:c>
      <x:c r="C78" s="54" t="str">
        <x:v>Accounts Payable</x:v>
      </x:c>
      <x:c r="D78" s="54" t="str">
        <x:v>Corporate</x:v>
      </x:c>
      <x:c r="E78" s="54" t="str">
        <x:v>BS Snapshot</x:v>
      </x:c>
      <x:c r="F78" s="190" t="n">
        <x:v>-0.369566</x:v>
      </x:c>
      <x:c r="G78" s="54" t="str">
        <x:v>Synthetic ERP Export</x:v>
      </x:c>
      <x:c r="H78" s="54" t="str">
        <x:v>FY2026_DEMO</x:v>
      </x:c>
      <x:c r="I78" s="96" t="str">
        <x:f>IF($B78="","",IF(COUNTIF(Account_Map!$A$6:$A$31,$B78)&gt;0,"Mapped","UNMAPPED"))</x:f>
        <x:v>Mapped</x:v>
      </x:c>
    </x:row>
    <x:row r="79">
      <x:c r="A79" s="189" t="n">
        <x:v>46173</x:v>
      </x:c>
      <x:c r="B79" s="54" t="str">
        <x:v>2100</x:v>
      </x:c>
      <x:c r="C79" s="54" t="str">
        <x:v>Accrued Expenses</x:v>
      </x:c>
      <x:c r="D79" s="54" t="str">
        <x:v>Corporate</x:v>
      </x:c>
      <x:c r="E79" s="54" t="str">
        <x:v>BS Snapshot</x:v>
      </x:c>
      <x:c r="F79" s="190" t="n">
        <x:v>-0.9275</x:v>
      </x:c>
      <x:c r="G79" s="54" t="str">
        <x:v>Synthetic ERP Export</x:v>
      </x:c>
      <x:c r="H79" s="54" t="str">
        <x:v>FY2026_DEMO</x:v>
      </x:c>
      <x:c r="I79" s="96" t="str">
        <x:f>IF($B79="","",IF(COUNTIF(Account_Map!$A$6:$A$31,$B79)&gt;0,"Mapped","UNMAPPED"))</x:f>
        <x:v>Mapped</x:v>
      </x:c>
    </x:row>
    <x:row r="80">
      <x:c r="A80" s="189" t="n">
        <x:v>46173</x:v>
      </x:c>
      <x:c r="B80" s="54" t="str">
        <x:v>2200</x:v>
      </x:c>
      <x:c r="C80" s="54" t="str">
        <x:v>Deferred Revenue</x:v>
      </x:c>
      <x:c r="D80" s="54" t="str">
        <x:v>Corporate</x:v>
      </x:c>
      <x:c r="E80" s="54" t="str">
        <x:v>BS Snapshot</x:v>
      </x:c>
      <x:c r="F80" s="190" t="n">
        <x:v>-1.825</x:v>
      </x:c>
      <x:c r="G80" s="54" t="str">
        <x:v>Synthetic ERP Export</x:v>
      </x:c>
      <x:c r="H80" s="54" t="str">
        <x:v>FY2026_DEMO</x:v>
      </x:c>
      <x:c r="I80" s="96" t="str">
        <x:f>IF($B80="","",IF(COUNTIF(Account_Map!$A$6:$A$31,$B80)&gt;0,"Mapped","UNMAPPED"))</x:f>
        <x:v>Mapped</x:v>
      </x:c>
    </x:row>
    <x:row r="81">
      <x:c r="A81" s="189" t="n">
        <x:v>46173</x:v>
      </x:c>
      <x:c r="B81" s="54" t="str">
        <x:v>2500</x:v>
      </x:c>
      <x:c r="C81" s="54" t="str">
        <x:v>Debt</x:v>
      </x:c>
      <x:c r="D81" s="54" t="str">
        <x:v>Corporate</x:v>
      </x:c>
      <x:c r="E81" s="54" t="str">
        <x:v>BS Snapshot</x:v>
      </x:c>
      <x:c r="F81" s="190" t="n">
        <x:v>-2.733333</x:v>
      </x:c>
      <x:c r="G81" s="54" t="str">
        <x:v>Synthetic ERP Export</x:v>
      </x:c>
      <x:c r="H81" s="54" t="str">
        <x:v>FY2026_DEMO</x:v>
      </x:c>
      <x:c r="I81" s="96" t="str">
        <x:f>IF($B81="","",IF(COUNTIF(Account_Map!$A$6:$A$31,$B81)&gt;0,"Mapped","UNMAPPED"))</x:f>
        <x:v>Mapped</x:v>
      </x:c>
    </x:row>
    <x:row r="82">
      <x:c r="A82" s="189" t="n">
        <x:v>46173</x:v>
      </x:c>
      <x:c r="B82" s="54" t="str">
        <x:v>3000</x:v>
      </x:c>
      <x:c r="C82" s="54" t="str">
        <x:v>Equity</x:v>
      </x:c>
      <x:c r="D82" s="54" t="str">
        <x:v>Corporate</x:v>
      </x:c>
      <x:c r="E82" s="54" t="str">
        <x:v>BS Snapshot</x:v>
      </x:c>
      <x:c r="F82" s="190" t="n">
        <x:v>-2.477831</x:v>
      </x:c>
      <x:c r="G82" s="54" t="str">
        <x:v>Synthetic ERP Export</x:v>
      </x:c>
      <x:c r="H82" s="54" t="str">
        <x:v>FY2026_DEMO</x:v>
      </x:c>
      <x:c r="I82" s="96" t="str">
        <x:f>IF($B82="","",IF(COUNTIF(Account_Map!$A$6:$A$31,$B82)&gt;0,"Mapped","UNMAPPED"))</x:f>
        <x:v>Mapped</x:v>
      </x:c>
    </x:row>
    <x:row r="83">
      <x:c r="A83" s="189" t="n">
        <x:v>46173</x:v>
      </x:c>
      <x:c r="B83" s="54" t="str">
        <x:v>4000</x:v>
      </x:c>
      <x:c r="C83" s="54" t="str">
        <x:v>Subscription Revenue</x:v>
      </x:c>
      <x:c r="D83" s="54" t="str">
        <x:v>Sales</x:v>
      </x:c>
      <x:c r="E83" s="54" t="str">
        <x:v>P&amp;L Activity</x:v>
      </x:c>
      <x:c r="F83" s="190" t="n">
        <x:v>-1.58</x:v>
      </x:c>
      <x:c r="G83" s="54" t="str">
        <x:v>Synthetic ERP Export</x:v>
      </x:c>
      <x:c r="H83" s="54" t="str">
        <x:v>FY2026_DEMO</x:v>
      </x:c>
      <x:c r="I83" s="96" t="str">
        <x:f>IF($B83="","",IF(COUNTIF(Account_Map!$A$6:$A$31,$B83)&gt;0,"Mapped","UNMAPPED"))</x:f>
        <x:v>Mapped</x:v>
      </x:c>
    </x:row>
    <x:row r="84">
      <x:c r="A84" s="189" t="n">
        <x:v>46173</x:v>
      </x:c>
      <x:c r="B84" s="54" t="str">
        <x:v>5000</x:v>
      </x:c>
      <x:c r="C84" s="54" t="str">
        <x:v>Hosting &amp; Service Delivery</x:v>
      </x:c>
      <x:c r="D84" s="54" t="str">
        <x:v>Operations</x:v>
      </x:c>
      <x:c r="E84" s="54" t="str">
        <x:v>P&amp;L Activity</x:v>
      </x:c>
      <x:c r="F84" s="190" t="n">
        <x:v>0.395</x:v>
      </x:c>
      <x:c r="G84" s="54" t="str">
        <x:v>Synthetic ERP Export</x:v>
      </x:c>
      <x:c r="H84" s="54" t="str">
        <x:v>FY2026_DEMO</x:v>
      </x:c>
      <x:c r="I84" s="96" t="str">
        <x:f>IF($B84="","",IF(COUNTIF(Account_Map!$A$6:$A$31,$B84)&gt;0,"Mapped","UNMAPPED"))</x:f>
        <x:v>Mapped</x:v>
      </x:c>
    </x:row>
    <x:row r="85">
      <x:c r="A85" s="189" t="n">
        <x:v>46173</x:v>
      </x:c>
      <x:c r="B85" s="54" t="str">
        <x:v>6100</x:v>
      </x:c>
      <x:c r="C85" s="54" t="str">
        <x:v>Sales &amp; Marketing</x:v>
      </x:c>
      <x:c r="D85" s="54" t="str">
        <x:v>Sales &amp; Marketing</x:v>
      </x:c>
      <x:c r="E85" s="54" t="str">
        <x:v>P&amp;L Activity</x:v>
      </x:c>
      <x:c r="F85" s="190" t="n">
        <x:v>0.474</x:v>
      </x:c>
      <x:c r="G85" s="54" t="str">
        <x:v>Synthetic ERP Export</x:v>
      </x:c>
      <x:c r="H85" s="54" t="str">
        <x:v>FY2026_DEMO</x:v>
      </x:c>
      <x:c r="I85" s="96" t="str">
        <x:f>IF($B85="","",IF(COUNTIF(Account_Map!$A$6:$A$31,$B85)&gt;0,"Mapped","UNMAPPED"))</x:f>
        <x:v>Mapped</x:v>
      </x:c>
    </x:row>
    <x:row r="86">
      <x:c r="A86" s="189" t="n">
        <x:v>46173</x:v>
      </x:c>
      <x:c r="B86" s="54" t="str">
        <x:v>6200</x:v>
      </x:c>
      <x:c r="C86" s="54" t="str">
        <x:v>Research &amp; Development</x:v>
      </x:c>
      <x:c r="D86" s="54" t="str">
        <x:v>Product &amp; Engineering</x:v>
      </x:c>
      <x:c r="E86" s="54" t="str">
        <x:v>P&amp;L Activity</x:v>
      </x:c>
      <x:c r="F86" s="190" t="n">
        <x:v>0.2844</x:v>
      </x:c>
      <x:c r="G86" s="54" t="str">
        <x:v>Synthetic ERP Export</x:v>
      </x:c>
      <x:c r="H86" s="54" t="str">
        <x:v>FY2026_DEMO</x:v>
      </x:c>
      <x:c r="I86" s="96" t="str">
        <x:f>IF($B86="","",IF(COUNTIF(Account_Map!$A$6:$A$31,$B86)&gt;0,"Mapped","UNMAPPED"))</x:f>
        <x:v>Mapped</x:v>
      </x:c>
    </x:row>
    <x:row r="87">
      <x:c r="A87" s="189" t="n">
        <x:v>46173</x:v>
      </x:c>
      <x:c r="B87" s="54" t="str">
        <x:v>6300</x:v>
      </x:c>
      <x:c r="C87" s="54" t="str">
        <x:v>General &amp; Administrative</x:v>
      </x:c>
      <x:c r="D87" s="54" t="str">
        <x:v>Corporate</x:v>
      </x:c>
      <x:c r="E87" s="54" t="str">
        <x:v>P&amp;L Activity</x:v>
      </x:c>
      <x:c r="F87" s="190" t="n">
        <x:v>0.237</x:v>
      </x:c>
      <x:c r="G87" s="54" t="str">
        <x:v>Synthetic ERP Export</x:v>
      </x:c>
      <x:c r="H87" s="54" t="str">
        <x:v>FY2026_DEMO</x:v>
      </x:c>
      <x:c r="I87" s="96" t="str">
        <x:f>IF($B87="","",IF(COUNTIF(Account_Map!$A$6:$A$31,$B87)&gt;0,"Mapped","UNMAPPED"))</x:f>
        <x:v>Mapped</x:v>
      </x:c>
    </x:row>
    <x:row r="88">
      <x:c r="A88" s="189" t="n">
        <x:v>46173</x:v>
      </x:c>
      <x:c r="B88" s="54" t="str">
        <x:v>7000</x:v>
      </x:c>
      <x:c r="C88" s="54" t="str">
        <x:v>Depreciation &amp; Amortization</x:v>
      </x:c>
      <x:c r="D88" s="54" t="str">
        <x:v>Corporate</x:v>
      </x:c>
      <x:c r="E88" s="54" t="str">
        <x:v>P&amp;L Activity</x:v>
      </x:c>
      <x:c r="F88" s="190" t="n">
        <x:v>0.0316</x:v>
      </x:c>
      <x:c r="G88" s="54" t="str">
        <x:v>Synthetic ERP Export</x:v>
      </x:c>
      <x:c r="H88" s="54" t="str">
        <x:v>FY2026_DEMO</x:v>
      </x:c>
      <x:c r="I88" s="96" t="str">
        <x:f>IF($B88="","",IF(COUNTIF(Account_Map!$A$6:$A$31,$B88)&gt;0,"Mapped","UNMAPPED"))</x:f>
        <x:v>Mapped</x:v>
      </x:c>
    </x:row>
    <x:row r="89">
      <x:c r="A89" s="189" t="n">
        <x:v>46173</x:v>
      </x:c>
      <x:c r="B89" s="54" t="str">
        <x:v>7100</x:v>
      </x:c>
      <x:c r="C89" s="54" t="str">
        <x:v>Interest Expense</x:v>
      </x:c>
      <x:c r="D89" s="54" t="str">
        <x:v>Corporate</x:v>
      </x:c>
      <x:c r="E89" s="54" t="str">
        <x:v>P&amp;L Activity</x:v>
      </x:c>
      <x:c r="F89" s="190" t="n">
        <x:v>0.0237</x:v>
      </x:c>
      <x:c r="G89" s="54" t="str">
        <x:v>Synthetic ERP Export</x:v>
      </x:c>
      <x:c r="H89" s="54" t="str">
        <x:v>FY2026_DEMO</x:v>
      </x:c>
      <x:c r="I89" s="96" t="str">
        <x:f>IF($B89="","",IF(COUNTIF(Account_Map!$A$6:$A$31,$B89)&gt;0,"Mapped","UNMAPPED"))</x:f>
        <x:v>Mapped</x:v>
      </x:c>
    </x:row>
    <x:row r="90">
      <x:c r="A90" s="189" t="n">
        <x:v>46173</x:v>
      </x:c>
      <x:c r="B90" s="54" t="str">
        <x:v>7200</x:v>
      </x:c>
      <x:c r="C90" s="54" t="str">
        <x:v>Income Taxes</x:v>
      </x:c>
      <x:c r="D90" s="54" t="str">
        <x:v>Corporate</x:v>
      </x:c>
      <x:c r="E90" s="54" t="str">
        <x:v>P&amp;L Activity</x:v>
      </x:c>
      <x:c r="F90" s="190" t="n">
        <x:v>0.033575</x:v>
      </x:c>
      <x:c r="G90" s="54" t="str">
        <x:v>Synthetic ERP Export</x:v>
      </x:c>
      <x:c r="H90" s="54" t="str">
        <x:v>FY2026_DEMO</x:v>
      </x:c>
      <x:c r="I90" s="96" t="str">
        <x:f>IF($B90="","",IF(COUNTIF(Account_Map!$A$6:$A$31,$B90)&gt;0,"Mapped","UNMAPPED"))</x:f>
        <x:v>Mapped</x:v>
      </x:c>
    </x:row>
    <x:row r="91">
      <x:c r="A91" s="189" t="n">
        <x:v>46203</x:v>
      </x:c>
      <x:c r="B91" s="54" t="str">
        <x:v>1000</x:v>
      </x:c>
      <x:c r="C91" s="54" t="str">
        <x:v>Cash &amp; Cash Equivalents</x:v>
      </x:c>
      <x:c r="D91" s="54" t="str">
        <x:v>Corporate</x:v>
      </x:c>
      <x:c r="E91" s="54" t="str">
        <x:v>BS Snapshot</x:v>
      </x:c>
      <x:c r="F91" s="190" t="n">
        <x:v>3.675</x:v>
      </x:c>
      <x:c r="G91" s="54" t="str">
        <x:v>Synthetic ERP Export</x:v>
      </x:c>
      <x:c r="H91" s="54" t="str">
        <x:v>FY2026_DEMO</x:v>
      </x:c>
      <x:c r="I91" s="96" t="str">
        <x:f>IF($B91="","",IF(COUNTIF(Account_Map!$A$6:$A$31,$B91)&gt;0,"Mapped","UNMAPPED"))</x:f>
        <x:v>Mapped</x:v>
      </x:c>
    </x:row>
    <x:row r="92">
      <x:c r="A92" s="189" t="n">
        <x:v>46203</x:v>
      </x:c>
      <x:c r="B92" s="54" t="str">
        <x:v>1100</x:v>
      </x:c>
      <x:c r="C92" s="54" t="str">
        <x:v>Accounts Receivable</x:v>
      </x:c>
      <x:c r="D92" s="54" t="str">
        <x:v>Corporate</x:v>
      </x:c>
      <x:c r="E92" s="54" t="str">
        <x:v>BS Snapshot</x:v>
      </x:c>
      <x:c r="F92" s="190" t="n">
        <x:v>2.282877</x:v>
      </x:c>
      <x:c r="G92" s="54" t="str">
        <x:v>Synthetic ERP Export</x:v>
      </x:c>
      <x:c r="H92" s="54" t="str">
        <x:v>FY2026_DEMO</x:v>
      </x:c>
      <x:c r="I92" s="96" t="str">
        <x:f>IF($B92="","",IF(COUNTIF(Account_Map!$A$6:$A$31,$B92)&gt;0,"Mapped","UNMAPPED"))</x:f>
        <x:v>Mapped</x:v>
      </x:c>
    </x:row>
    <x:row r="93">
      <x:c r="A93" s="189" t="n">
        <x:v>46203</x:v>
      </x:c>
      <x:c r="B93" s="54" t="str">
        <x:v>1200</x:v>
      </x:c>
      <x:c r="C93" s="54" t="str">
        <x:v>Other Current Assets</x:v>
      </x:c>
      <x:c r="D93" s="54" t="str">
        <x:v>Corporate</x:v>
      </x:c>
      <x:c r="E93" s="54" t="str">
        <x:v>BS Snapshot</x:v>
      </x:c>
      <x:c r="F93" s="190" t="n">
        <x:v>0.54</x:v>
      </x:c>
      <x:c r="G93" s="54" t="str">
        <x:v>Synthetic ERP Export</x:v>
      </x:c>
      <x:c r="H93" s="54" t="str">
        <x:v>FY2026_DEMO</x:v>
      </x:c>
      <x:c r="I93" s="96" t="str">
        <x:f>IF($B93="","",IF(COUNTIF(Account_Map!$A$6:$A$31,$B93)&gt;0,"Mapped","UNMAPPED"))</x:f>
        <x:v>Mapped</x:v>
      </x:c>
    </x:row>
    <x:row r="94">
      <x:c r="A94" s="189" t="n">
        <x:v>46203</x:v>
      </x:c>
      <x:c r="B94" s="54" t="str">
        <x:v>1500</x:v>
      </x:c>
      <x:c r="C94" s="54" t="str">
        <x:v>PP&amp;E, Net</x:v>
      </x:c>
      <x:c r="D94" s="54" t="str">
        <x:v>Corporate</x:v>
      </x:c>
      <x:c r="E94" s="54" t="str">
        <x:v>BS Snapshot</x:v>
      </x:c>
      <x:c r="F94" s="190" t="n">
        <x:v>1.875</x:v>
      </x:c>
      <x:c r="G94" s="54" t="str">
        <x:v>Synthetic ERP Export</x:v>
      </x:c>
      <x:c r="H94" s="54" t="str">
        <x:v>FY2026_DEMO</x:v>
      </x:c>
      <x:c r="I94" s="96" t="str">
        <x:f>IF($B94="","",IF(COUNTIF(Account_Map!$A$6:$A$31,$B94)&gt;0,"Mapped","UNMAPPED"))</x:f>
        <x:v>Mapped</x:v>
      </x:c>
    </x:row>
    <x:row r="95">
      <x:c r="A95" s="189" t="n">
        <x:v>46203</x:v>
      </x:c>
      <x:c r="B95" s="54" t="str">
        <x:v>2000</x:v>
      </x:c>
      <x:c r="C95" s="54" t="str">
        <x:v>Accounts Payable</x:v>
      </x:c>
      <x:c r="D95" s="54" t="str">
        <x:v>Corporate</x:v>
      </x:c>
      <x:c r="E95" s="54" t="str">
        <x:v>BS Snapshot</x:v>
      </x:c>
      <x:c r="F95" s="190" t="n">
        <x:v>-0.375479</x:v>
      </x:c>
      <x:c r="G95" s="54" t="str">
        <x:v>Synthetic ERP Export</x:v>
      </x:c>
      <x:c r="H95" s="54" t="str">
        <x:v>FY2026_DEMO</x:v>
      </x:c>
      <x:c r="I95" s="96" t="str">
        <x:f>IF($B95="","",IF(COUNTIF(Account_Map!$A$6:$A$31,$B95)&gt;0,"Mapped","UNMAPPED"))</x:f>
        <x:v>Mapped</x:v>
      </x:c>
    </x:row>
    <x:row r="96">
      <x:c r="A96" s="189" t="n">
        <x:v>46203</x:v>
      </x:c>
      <x:c r="B96" s="54" t="str">
        <x:v>2100</x:v>
      </x:c>
      <x:c r="C96" s="54" t="str">
        <x:v>Accrued Expenses</x:v>
      </x:c>
      <x:c r="D96" s="54" t="str">
        <x:v>Corporate</x:v>
      </x:c>
      <x:c r="E96" s="54" t="str">
        <x:v>BS Snapshot</x:v>
      </x:c>
      <x:c r="F96" s="190" t="n">
        <x:v>-0.939</x:v>
      </x:c>
      <x:c r="G96" s="54" t="str">
        <x:v>Synthetic ERP Export</x:v>
      </x:c>
      <x:c r="H96" s="54" t="str">
        <x:v>FY2026_DEMO</x:v>
      </x:c>
      <x:c r="I96" s="96" t="str">
        <x:f>IF($B96="","",IF(COUNTIF(Account_Map!$A$6:$A$31,$B96)&gt;0,"Mapped","UNMAPPED"))</x:f>
        <x:v>Mapped</x:v>
      </x:c>
    </x:row>
    <x:row r="97">
      <x:c r="A97" s="189" t="n">
        <x:v>46203</x:v>
      </x:c>
      <x:c r="B97" s="54" t="str">
        <x:v>2200</x:v>
      </x:c>
      <x:c r="C97" s="54" t="str">
        <x:v>Deferred Revenue</x:v>
      </x:c>
      <x:c r="D97" s="54" t="str">
        <x:v>Corporate</x:v>
      </x:c>
      <x:c r="E97" s="54" t="str">
        <x:v>BS Snapshot</x:v>
      </x:c>
      <x:c r="F97" s="190" t="n">
        <x:v>-1.85</x:v>
      </x:c>
      <x:c r="G97" s="54" t="str">
        <x:v>Synthetic ERP Export</x:v>
      </x:c>
      <x:c r="H97" s="54" t="str">
        <x:v>FY2026_DEMO</x:v>
      </x:c>
      <x:c r="I97" s="96" t="str">
        <x:f>IF($B97="","",IF(COUNTIF(Account_Map!$A$6:$A$31,$B97)&gt;0,"Mapped","UNMAPPED"))</x:f>
        <x:v>Mapped</x:v>
      </x:c>
    </x:row>
    <x:row r="98">
      <x:c r="A98" s="189" t="n">
        <x:v>46203</x:v>
      </x:c>
      <x:c r="B98" s="54" t="str">
        <x:v>2500</x:v>
      </x:c>
      <x:c r="C98" s="54" t="str">
        <x:v>Debt</x:v>
      </x:c>
      <x:c r="D98" s="54" t="str">
        <x:v>Corporate</x:v>
      </x:c>
      <x:c r="E98" s="54" t="str">
        <x:v>BS Snapshot</x:v>
      </x:c>
      <x:c r="F98" s="190" t="n">
        <x:v>-2.7</x:v>
      </x:c>
      <x:c r="G98" s="54" t="str">
        <x:v>Synthetic ERP Export</x:v>
      </x:c>
      <x:c r="H98" s="54" t="str">
        <x:v>FY2026_DEMO</x:v>
      </x:c>
      <x:c r="I98" s="96" t="str">
        <x:f>IF($B98="","",IF(COUNTIF(Account_Map!$A$6:$A$31,$B98)&gt;0,"Mapped","UNMAPPED"))</x:f>
        <x:v>Mapped</x:v>
      </x:c>
    </x:row>
    <x:row r="99">
      <x:c r="A99" s="189" t="n">
        <x:v>46203</x:v>
      </x:c>
      <x:c r="B99" s="54" t="str">
        <x:v>3000</x:v>
      </x:c>
      <x:c r="C99" s="54" t="str">
        <x:v>Equity</x:v>
      </x:c>
      <x:c r="D99" s="54" t="str">
        <x:v>Corporate</x:v>
      </x:c>
      <x:c r="E99" s="54" t="str">
        <x:v>BS Snapshot</x:v>
      </x:c>
      <x:c r="F99" s="190" t="n">
        <x:v>-2.573397</x:v>
      </x:c>
      <x:c r="G99" s="54" t="str">
        <x:v>Synthetic ERP Export</x:v>
      </x:c>
      <x:c r="H99" s="54" t="str">
        <x:v>FY2026_DEMO</x:v>
      </x:c>
      <x:c r="I99" s="96" t="str">
        <x:f>IF($B99="","",IF(COUNTIF(Account_Map!$A$6:$A$31,$B99)&gt;0,"Mapped","UNMAPPED"))</x:f>
        <x:v>Mapped</x:v>
      </x:c>
    </x:row>
    <x:row r="100">
      <x:c r="A100" s="189" t="n">
        <x:v>46203</x:v>
      </x:c>
      <x:c r="B100" s="54" t="str">
        <x:v>4000</x:v>
      </x:c>
      <x:c r="C100" s="54" t="str">
        <x:v>Subscription Revenue</x:v>
      </x:c>
      <x:c r="D100" s="54" t="str">
        <x:v>Sales</x:v>
      </x:c>
      <x:c r="E100" s="54" t="str">
        <x:v>P&amp;L Activity</x:v>
      </x:c>
      <x:c r="F100" s="190" t="n">
        <x:v>-1.62</x:v>
      </x:c>
      <x:c r="G100" s="54" t="str">
        <x:v>Synthetic ERP Export</x:v>
      </x:c>
      <x:c r="H100" s="54" t="str">
        <x:v>FY2026_DEMO</x:v>
      </x:c>
      <x:c r="I100" s="96" t="str">
        <x:f>IF($B100="","",IF(COUNTIF(Account_Map!$A$6:$A$31,$B100)&gt;0,"Mapped","UNMAPPED"))</x:f>
        <x:v>Mapped</x:v>
      </x:c>
    </x:row>
    <x:row r="101">
      <x:c r="A101" s="189" t="n">
        <x:v>46203</x:v>
      </x:c>
      <x:c r="B101" s="54" t="str">
        <x:v>5000</x:v>
      </x:c>
      <x:c r="C101" s="54" t="str">
        <x:v>Hosting &amp; Service Delivery</x:v>
      </x:c>
      <x:c r="D101" s="54" t="str">
        <x:v>Operations</x:v>
      </x:c>
      <x:c r="E101" s="54" t="str">
        <x:v>P&amp;L Activity</x:v>
      </x:c>
      <x:c r="F101" s="190" t="n">
        <x:v>0.405</x:v>
      </x:c>
      <x:c r="G101" s="54" t="str">
        <x:v>Synthetic ERP Export</x:v>
      </x:c>
      <x:c r="H101" s="54" t="str">
        <x:v>FY2026_DEMO</x:v>
      </x:c>
      <x:c r="I101" s="96" t="str">
        <x:f>IF($B101="","",IF(COUNTIF(Account_Map!$A$6:$A$31,$B101)&gt;0,"Mapped","UNMAPPED"))</x:f>
        <x:v>Mapped</x:v>
      </x:c>
    </x:row>
    <x:row r="102">
      <x:c r="A102" s="189" t="n">
        <x:v>46203</x:v>
      </x:c>
      <x:c r="B102" s="54" t="str">
        <x:v>6100</x:v>
      </x:c>
      <x:c r="C102" s="54" t="str">
        <x:v>Sales &amp; Marketing</x:v>
      </x:c>
      <x:c r="D102" s="54" t="str">
        <x:v>Sales &amp; Marketing</x:v>
      </x:c>
      <x:c r="E102" s="54" t="str">
        <x:v>P&amp;L Activity</x:v>
      </x:c>
      <x:c r="F102" s="190" t="n">
        <x:v>0.486</x:v>
      </x:c>
      <x:c r="G102" s="54" t="str">
        <x:v>Synthetic ERP Export</x:v>
      </x:c>
      <x:c r="H102" s="54" t="str">
        <x:v>FY2026_DEMO</x:v>
      </x:c>
      <x:c r="I102" s="96" t="str">
        <x:f>IF($B102="","",IF(COUNTIF(Account_Map!$A$6:$A$31,$B102)&gt;0,"Mapped","UNMAPPED"))</x:f>
        <x:v>Mapped</x:v>
      </x:c>
    </x:row>
    <x:row r="103">
      <x:c r="A103" s="189" t="n">
        <x:v>46203</x:v>
      </x:c>
      <x:c r="B103" s="54" t="str">
        <x:v>6200</x:v>
      </x:c>
      <x:c r="C103" s="54" t="str">
        <x:v>Research &amp; Development</x:v>
      </x:c>
      <x:c r="D103" s="54" t="str">
        <x:v>Product &amp; Engineering</x:v>
      </x:c>
      <x:c r="E103" s="54" t="str">
        <x:v>P&amp;L Activity</x:v>
      </x:c>
      <x:c r="F103" s="190" t="n">
        <x:v>0.2916</x:v>
      </x:c>
      <x:c r="G103" s="54" t="str">
        <x:v>Synthetic ERP Export</x:v>
      </x:c>
      <x:c r="H103" s="54" t="str">
        <x:v>FY2026_DEMO</x:v>
      </x:c>
      <x:c r="I103" s="96" t="str">
        <x:f>IF($B103="","",IF(COUNTIF(Account_Map!$A$6:$A$31,$B103)&gt;0,"Mapped","UNMAPPED"))</x:f>
        <x:v>Mapped</x:v>
      </x:c>
    </x:row>
    <x:row r="104">
      <x:c r="A104" s="189" t="n">
        <x:v>46203</x:v>
      </x:c>
      <x:c r="B104" s="54" t="str">
        <x:v>6300</x:v>
      </x:c>
      <x:c r="C104" s="54" t="str">
        <x:v>General &amp; Administrative</x:v>
      </x:c>
      <x:c r="D104" s="54" t="str">
        <x:v>Corporate</x:v>
      </x:c>
      <x:c r="E104" s="54" t="str">
        <x:v>P&amp;L Activity</x:v>
      </x:c>
      <x:c r="F104" s="190" t="n">
        <x:v>0.243</x:v>
      </x:c>
      <x:c r="G104" s="54" t="str">
        <x:v>Synthetic ERP Export</x:v>
      </x:c>
      <x:c r="H104" s="54" t="str">
        <x:v>FY2026_DEMO</x:v>
      </x:c>
      <x:c r="I104" s="96" t="str">
        <x:f>IF($B104="","",IF(COUNTIF(Account_Map!$A$6:$A$31,$B104)&gt;0,"Mapped","UNMAPPED"))</x:f>
        <x:v>Mapped</x:v>
      </x:c>
    </x:row>
    <x:row r="105">
      <x:c r="A105" s="189" t="n">
        <x:v>46203</x:v>
      </x:c>
      <x:c r="B105" s="54" t="str">
        <x:v>7000</x:v>
      </x:c>
      <x:c r="C105" s="54" t="str">
        <x:v>Depreciation &amp; Amortization</x:v>
      </x:c>
      <x:c r="D105" s="54" t="str">
        <x:v>Corporate</x:v>
      </x:c>
      <x:c r="E105" s="54" t="str">
        <x:v>P&amp;L Activity</x:v>
      </x:c>
      <x:c r="F105" s="190" t="n">
        <x:v>0.0324</x:v>
      </x:c>
      <x:c r="G105" s="54" t="str">
        <x:v>Synthetic ERP Export</x:v>
      </x:c>
      <x:c r="H105" s="54" t="str">
        <x:v>FY2026_DEMO</x:v>
      </x:c>
      <x:c r="I105" s="96" t="str">
        <x:f>IF($B105="","",IF(COUNTIF(Account_Map!$A$6:$A$31,$B105)&gt;0,"Mapped","UNMAPPED"))</x:f>
        <x:v>Mapped</x:v>
      </x:c>
    </x:row>
    <x:row r="106">
      <x:c r="A106" s="189" t="n">
        <x:v>46203</x:v>
      </x:c>
      <x:c r="B106" s="54" t="str">
        <x:v>7100</x:v>
      </x:c>
      <x:c r="C106" s="54" t="str">
        <x:v>Interest Expense</x:v>
      </x:c>
      <x:c r="D106" s="54" t="str">
        <x:v>Corporate</x:v>
      </x:c>
      <x:c r="E106" s="54" t="str">
        <x:v>P&amp;L Activity</x:v>
      </x:c>
      <x:c r="F106" s="190" t="n">
        <x:v>0.0243</x:v>
      </x:c>
      <x:c r="G106" s="54" t="str">
        <x:v>Synthetic ERP Export</x:v>
      </x:c>
      <x:c r="H106" s="54" t="str">
        <x:v>FY2026_DEMO</x:v>
      </x:c>
      <x:c r="I106" s="96" t="str">
        <x:f>IF($B106="","",IF(COUNTIF(Account_Map!$A$6:$A$31,$B106)&gt;0,"Mapped","UNMAPPED"))</x:f>
        <x:v>Mapped</x:v>
      </x:c>
    </x:row>
    <x:row r="107">
      <x:c r="A107" s="189" t="n">
        <x:v>46203</x:v>
      </x:c>
      <x:c r="B107" s="54" t="str">
        <x:v>7200</x:v>
      </x:c>
      <x:c r="C107" s="54" t="str">
        <x:v>Income Taxes</x:v>
      </x:c>
      <x:c r="D107" s="54" t="str">
        <x:v>Corporate</x:v>
      </x:c>
      <x:c r="E107" s="54" t="str">
        <x:v>P&amp;L Activity</x:v>
      </x:c>
      <x:c r="F107" s="190" t="n">
        <x:v>0.034425</x:v>
      </x:c>
      <x:c r="G107" s="54" t="str">
        <x:v>Synthetic ERP Export</x:v>
      </x:c>
      <x:c r="H107" s="54" t="str">
        <x:v>FY2026_DEMO</x:v>
      </x:c>
      <x:c r="I107" s="96" t="str">
        <x:f>IF($B107="","",IF(COUNTIF(Account_Map!$A$6:$A$31,$B107)&gt;0,"Mapped","UNMAPPED"))</x:f>
        <x:v>Mapped</x:v>
      </x:c>
    </x:row>
    <x:row r="108">
      <x:c r="A108" s="189" t="n">
        <x:v>46234</x:v>
      </x:c>
      <x:c r="B108" s="54" t="str">
        <x:v>1000</x:v>
      </x:c>
      <x:c r="C108" s="54" t="str">
        <x:v>Cash &amp; Cash Equivalents</x:v>
      </x:c>
      <x:c r="D108" s="54" t="str">
        <x:v>Corporate</x:v>
      </x:c>
      <x:c r="E108" s="54" t="str">
        <x:v>BS Snapshot</x:v>
      </x:c>
      <x:c r="F108" s="190" t="n">
        <x:v>3.729167</x:v>
      </x:c>
      <x:c r="G108" s="54" t="str">
        <x:v>Synthetic ERP Export</x:v>
      </x:c>
      <x:c r="H108" s="54" t="str">
        <x:v>FY2026_DEMO</x:v>
      </x:c>
      <x:c r="I108" s="96" t="str">
        <x:f>IF($B108="","",IF(COUNTIF(Account_Map!$A$6:$A$31,$B108)&gt;0,"Mapped","UNMAPPED"))</x:f>
        <x:v>Mapped</x:v>
      </x:c>
    </x:row>
    <x:row r="109">
      <x:c r="A109" s="189" t="n">
        <x:v>46234</x:v>
      </x:c>
      <x:c r="B109" s="54" t="str">
        <x:v>1100</x:v>
      </x:c>
      <x:c r="C109" s="54" t="str">
        <x:v>Accounts Receivable</x:v>
      </x:c>
      <x:c r="D109" s="54" t="str">
        <x:v>Corporate</x:v>
      </x:c>
      <x:c r="E109" s="54" t="str">
        <x:v>BS Snapshot</x:v>
      </x:c>
      <x:c r="F109" s="190" t="n">
        <x:v>2.313356</x:v>
      </x:c>
      <x:c r="G109" s="54" t="str">
        <x:v>Synthetic ERP Export</x:v>
      </x:c>
      <x:c r="H109" s="54" t="str">
        <x:v>FY2026_DEMO</x:v>
      </x:c>
      <x:c r="I109" s="96" t="str">
        <x:f>IF($B109="","",IF(COUNTIF(Account_Map!$A$6:$A$31,$B109)&gt;0,"Mapped","UNMAPPED"))</x:f>
        <x:v>Mapped</x:v>
      </x:c>
    </x:row>
    <x:row r="110">
      <x:c r="A110" s="189" t="n">
        <x:v>46234</x:v>
      </x:c>
      <x:c r="B110" s="54" t="str">
        <x:v>1200</x:v>
      </x:c>
      <x:c r="C110" s="54" t="str">
        <x:v>Other Current Assets</x:v>
      </x:c>
      <x:c r="D110" s="54" t="str">
        <x:v>Corporate</x:v>
      </x:c>
      <x:c r="E110" s="54" t="str">
        <x:v>BS Snapshot</x:v>
      </x:c>
      <x:c r="F110" s="190" t="n">
        <x:v>0.55</x:v>
      </x:c>
      <x:c r="G110" s="54" t="str">
        <x:v>Synthetic ERP Export</x:v>
      </x:c>
      <x:c r="H110" s="54" t="str">
        <x:v>FY2026_DEMO</x:v>
      </x:c>
      <x:c r="I110" s="96" t="str">
        <x:f>IF($B110="","",IF(COUNTIF(Account_Map!$A$6:$A$31,$B110)&gt;0,"Mapped","UNMAPPED"))</x:f>
        <x:v>Mapped</x:v>
      </x:c>
    </x:row>
    <x:row r="111">
      <x:c r="A111" s="189" t="n">
        <x:v>46234</x:v>
      </x:c>
      <x:c r="B111" s="54" t="str">
        <x:v>1500</x:v>
      </x:c>
      <x:c r="C111" s="54" t="str">
        <x:v>PP&amp;E, Net</x:v>
      </x:c>
      <x:c r="D111" s="54" t="str">
        <x:v>Corporate</x:v>
      </x:c>
      <x:c r="E111" s="54" t="str">
        <x:v>BS Snapshot</x:v>
      </x:c>
      <x:c r="F111" s="190" t="n">
        <x:v>1.895833</x:v>
      </x:c>
      <x:c r="G111" s="54" t="str">
        <x:v>Synthetic ERP Export</x:v>
      </x:c>
      <x:c r="H111" s="54" t="str">
        <x:v>FY2026_DEMO</x:v>
      </x:c>
      <x:c r="I111" s="96" t="str">
        <x:f>IF($B111="","",IF(COUNTIF(Account_Map!$A$6:$A$31,$B111)&gt;0,"Mapped","UNMAPPED"))</x:f>
        <x:v>Mapped</x:v>
      </x:c>
    </x:row>
    <x:row r="112">
      <x:c r="A112" s="189" t="n">
        <x:v>46234</x:v>
      </x:c>
      <x:c r="B112" s="54" t="str">
        <x:v>2000</x:v>
      </x:c>
      <x:c r="C112" s="54" t="str">
        <x:v>Accounts Payable</x:v>
      </x:c>
      <x:c r="D112" s="54" t="str">
        <x:v>Corporate</x:v>
      </x:c>
      <x:c r="E112" s="54" t="str">
        <x:v>BS Snapshot</x:v>
      </x:c>
      <x:c r="F112" s="190" t="n">
        <x:v>-0.381393</x:v>
      </x:c>
      <x:c r="G112" s="54" t="str">
        <x:v>Synthetic ERP Export</x:v>
      </x:c>
      <x:c r="H112" s="54" t="str">
        <x:v>FY2026_DEMO</x:v>
      </x:c>
      <x:c r="I112" s="96" t="str">
        <x:f>IF($B112="","",IF(COUNTIF(Account_Map!$A$6:$A$31,$B112)&gt;0,"Mapped","UNMAPPED"))</x:f>
        <x:v>Mapped</x:v>
      </x:c>
    </x:row>
    <x:row r="113">
      <x:c r="A113" s="189" t="n">
        <x:v>46234</x:v>
      </x:c>
      <x:c r="B113" s="54" t="str">
        <x:v>2100</x:v>
      </x:c>
      <x:c r="C113" s="54" t="str">
        <x:v>Accrued Expenses</x:v>
      </x:c>
      <x:c r="D113" s="54" t="str">
        <x:v>Corporate</x:v>
      </x:c>
      <x:c r="E113" s="54" t="str">
        <x:v>BS Snapshot</x:v>
      </x:c>
      <x:c r="F113" s="190" t="n">
        <x:v>-0.9505</x:v>
      </x:c>
      <x:c r="G113" s="54" t="str">
        <x:v>Synthetic ERP Export</x:v>
      </x:c>
      <x:c r="H113" s="54" t="str">
        <x:v>FY2026_DEMO</x:v>
      </x:c>
      <x:c r="I113" s="96" t="str">
        <x:f>IF($B113="","",IF(COUNTIF(Account_Map!$A$6:$A$31,$B113)&gt;0,"Mapped","UNMAPPED"))</x:f>
        <x:v>Mapped</x:v>
      </x:c>
    </x:row>
    <x:row r="114">
      <x:c r="A114" s="189" t="n">
        <x:v>46234</x:v>
      </x:c>
      <x:c r="B114" s="54" t="str">
        <x:v>2200</x:v>
      </x:c>
      <x:c r="C114" s="54" t="str">
        <x:v>Deferred Revenue</x:v>
      </x:c>
      <x:c r="D114" s="54" t="str">
        <x:v>Corporate</x:v>
      </x:c>
      <x:c r="E114" s="54" t="str">
        <x:v>BS Snapshot</x:v>
      </x:c>
      <x:c r="F114" s="190" t="n">
        <x:v>-1.875</x:v>
      </x:c>
      <x:c r="G114" s="54" t="str">
        <x:v>Synthetic ERP Export</x:v>
      </x:c>
      <x:c r="H114" s="54" t="str">
        <x:v>FY2026_DEMO</x:v>
      </x:c>
      <x:c r="I114" s="96" t="str">
        <x:f>IF($B114="","",IF(COUNTIF(Account_Map!$A$6:$A$31,$B114)&gt;0,"Mapped","UNMAPPED"))</x:f>
        <x:v>Mapped</x:v>
      </x:c>
    </x:row>
    <x:row r="115">
      <x:c r="A115" s="189" t="n">
        <x:v>46234</x:v>
      </x:c>
      <x:c r="B115" s="54" t="str">
        <x:v>2500</x:v>
      </x:c>
      <x:c r="C115" s="54" t="str">
        <x:v>Debt</x:v>
      </x:c>
      <x:c r="D115" s="54" t="str">
        <x:v>Corporate</x:v>
      </x:c>
      <x:c r="E115" s="54" t="str">
        <x:v>BS Snapshot</x:v>
      </x:c>
      <x:c r="F115" s="190" t="n">
        <x:v>-2.666667</x:v>
      </x:c>
      <x:c r="G115" s="54" t="str">
        <x:v>Synthetic ERP Export</x:v>
      </x:c>
      <x:c r="H115" s="54" t="str">
        <x:v>FY2026_DEMO</x:v>
      </x:c>
      <x:c r="I115" s="96" t="str">
        <x:f>IF($B115="","",IF(COUNTIF(Account_Map!$A$6:$A$31,$B115)&gt;0,"Mapped","UNMAPPED"))</x:f>
        <x:v>Mapped</x:v>
      </x:c>
    </x:row>
    <x:row r="116">
      <x:c r="A116" s="189" t="n">
        <x:v>46234</x:v>
      </x:c>
      <x:c r="B116" s="54" t="str">
        <x:v>3000</x:v>
      </x:c>
      <x:c r="C116" s="54" t="str">
        <x:v>Equity</x:v>
      </x:c>
      <x:c r="D116" s="54" t="str">
        <x:v>Corporate</x:v>
      </x:c>
      <x:c r="E116" s="54" t="str">
        <x:v>BS Snapshot</x:v>
      </x:c>
      <x:c r="F116" s="190" t="n">
        <x:v>-2.668963</x:v>
      </x:c>
      <x:c r="G116" s="54" t="str">
        <x:v>Synthetic ERP Export</x:v>
      </x:c>
      <x:c r="H116" s="54" t="str">
        <x:v>FY2026_DEMO</x:v>
      </x:c>
      <x:c r="I116" s="96" t="str">
        <x:f>IF($B116="","",IF(COUNTIF(Account_Map!$A$6:$A$31,$B116)&gt;0,"Mapped","UNMAPPED"))</x:f>
        <x:v>Mapped</x:v>
      </x:c>
    </x:row>
    <x:row r="117">
      <x:c r="A117" s="189" t="n">
        <x:v>46234</x:v>
      </x:c>
      <x:c r="B117" s="54" t="str">
        <x:v>4000</x:v>
      </x:c>
      <x:c r="C117" s="54" t="str">
        <x:v>Subscription Revenue</x:v>
      </x:c>
      <x:c r="D117" s="54" t="str">
        <x:v>Sales</x:v>
      </x:c>
      <x:c r="E117" s="54" t="str">
        <x:v>P&amp;L Activity</x:v>
      </x:c>
      <x:c r="F117" s="190" t="n">
        <x:v>-1.66</x:v>
      </x:c>
      <x:c r="G117" s="54" t="str">
        <x:v>Synthetic ERP Export</x:v>
      </x:c>
      <x:c r="H117" s="54" t="str">
        <x:v>FY2026_DEMO</x:v>
      </x:c>
      <x:c r="I117" s="96" t="str">
        <x:f>IF($B117="","",IF(COUNTIF(Account_Map!$A$6:$A$31,$B117)&gt;0,"Mapped","UNMAPPED"))</x:f>
        <x:v>Mapped</x:v>
      </x:c>
    </x:row>
    <x:row r="118">
      <x:c r="A118" s="189" t="n">
        <x:v>46234</x:v>
      </x:c>
      <x:c r="B118" s="54" t="str">
        <x:v>5000</x:v>
      </x:c>
      <x:c r="C118" s="54" t="str">
        <x:v>Hosting &amp; Service Delivery</x:v>
      </x:c>
      <x:c r="D118" s="54" t="str">
        <x:v>Operations</x:v>
      </x:c>
      <x:c r="E118" s="54" t="str">
        <x:v>P&amp;L Activity</x:v>
      </x:c>
      <x:c r="F118" s="190" t="n">
        <x:v>0.415</x:v>
      </x:c>
      <x:c r="G118" s="54" t="str">
        <x:v>Synthetic ERP Export</x:v>
      </x:c>
      <x:c r="H118" s="54" t="str">
        <x:v>FY2026_DEMO</x:v>
      </x:c>
      <x:c r="I118" s="96" t="str">
        <x:f>IF($B118="","",IF(COUNTIF(Account_Map!$A$6:$A$31,$B118)&gt;0,"Mapped","UNMAPPED"))</x:f>
        <x:v>Mapped</x:v>
      </x:c>
    </x:row>
    <x:row r="119">
      <x:c r="A119" s="189" t="n">
        <x:v>46234</x:v>
      </x:c>
      <x:c r="B119" s="54" t="str">
        <x:v>6100</x:v>
      </x:c>
      <x:c r="C119" s="54" t="str">
        <x:v>Sales &amp; Marketing</x:v>
      </x:c>
      <x:c r="D119" s="54" t="str">
        <x:v>Sales &amp; Marketing</x:v>
      </x:c>
      <x:c r="E119" s="54" t="str">
        <x:v>P&amp;L Activity</x:v>
      </x:c>
      <x:c r="F119" s="190" t="n">
        <x:v>0.498</x:v>
      </x:c>
      <x:c r="G119" s="54" t="str">
        <x:v>Synthetic ERP Export</x:v>
      </x:c>
      <x:c r="H119" s="54" t="str">
        <x:v>FY2026_DEMO</x:v>
      </x:c>
      <x:c r="I119" s="96" t="str">
        <x:f>IF($B119="","",IF(COUNTIF(Account_Map!$A$6:$A$31,$B119)&gt;0,"Mapped","UNMAPPED"))</x:f>
        <x:v>Mapped</x:v>
      </x:c>
    </x:row>
    <x:row r="120">
      <x:c r="A120" s="189" t="n">
        <x:v>46234</x:v>
      </x:c>
      <x:c r="B120" s="54" t="str">
        <x:v>6200</x:v>
      </x:c>
      <x:c r="C120" s="54" t="str">
        <x:v>Research &amp; Development</x:v>
      </x:c>
      <x:c r="D120" s="54" t="str">
        <x:v>Product &amp; Engineering</x:v>
      </x:c>
      <x:c r="E120" s="54" t="str">
        <x:v>P&amp;L Activity</x:v>
      </x:c>
      <x:c r="F120" s="190" t="n">
        <x:v>0.2988</x:v>
      </x:c>
      <x:c r="G120" s="54" t="str">
        <x:v>Synthetic ERP Export</x:v>
      </x:c>
      <x:c r="H120" s="54" t="str">
        <x:v>FY2026_DEMO</x:v>
      </x:c>
      <x:c r="I120" s="96" t="str">
        <x:f>IF($B120="","",IF(COUNTIF(Account_Map!$A$6:$A$31,$B120)&gt;0,"Mapped","UNMAPPED"))</x:f>
        <x:v>Mapped</x:v>
      </x:c>
    </x:row>
    <x:row r="121">
      <x:c r="A121" s="189" t="n">
        <x:v>46234</x:v>
      </x:c>
      <x:c r="B121" s="54" t="str">
        <x:v>6300</x:v>
      </x:c>
      <x:c r="C121" s="54" t="str">
        <x:v>General &amp; Administrative</x:v>
      </x:c>
      <x:c r="D121" s="54" t="str">
        <x:v>Corporate</x:v>
      </x:c>
      <x:c r="E121" s="54" t="str">
        <x:v>P&amp;L Activity</x:v>
      </x:c>
      <x:c r="F121" s="190" t="n">
        <x:v>0.249</x:v>
      </x:c>
      <x:c r="G121" s="54" t="str">
        <x:v>Synthetic ERP Export</x:v>
      </x:c>
      <x:c r="H121" s="54" t="str">
        <x:v>FY2026_DEMO</x:v>
      </x:c>
      <x:c r="I121" s="96" t="str">
        <x:f>IF($B121="","",IF(COUNTIF(Account_Map!$A$6:$A$31,$B121)&gt;0,"Mapped","UNMAPPED"))</x:f>
        <x:v>Mapped</x:v>
      </x:c>
    </x:row>
    <x:row r="122">
      <x:c r="A122" s="189" t="n">
        <x:v>46234</x:v>
      </x:c>
      <x:c r="B122" s="54" t="str">
        <x:v>7000</x:v>
      </x:c>
      <x:c r="C122" s="54" t="str">
        <x:v>Depreciation &amp; Amortization</x:v>
      </x:c>
      <x:c r="D122" s="54" t="str">
        <x:v>Corporate</x:v>
      </x:c>
      <x:c r="E122" s="54" t="str">
        <x:v>P&amp;L Activity</x:v>
      </x:c>
      <x:c r="F122" s="190" t="n">
        <x:v>0.0332</x:v>
      </x:c>
      <x:c r="G122" s="54" t="str">
        <x:v>Synthetic ERP Export</x:v>
      </x:c>
      <x:c r="H122" s="54" t="str">
        <x:v>FY2026_DEMO</x:v>
      </x:c>
      <x:c r="I122" s="96" t="str">
        <x:f>IF($B122="","",IF(COUNTIF(Account_Map!$A$6:$A$31,$B122)&gt;0,"Mapped","UNMAPPED"))</x:f>
        <x:v>Mapped</x:v>
      </x:c>
    </x:row>
    <x:row r="123">
      <x:c r="A123" s="189" t="n">
        <x:v>46234</x:v>
      </x:c>
      <x:c r="B123" s="54" t="str">
        <x:v>7100</x:v>
      </x:c>
      <x:c r="C123" s="54" t="str">
        <x:v>Interest Expense</x:v>
      </x:c>
      <x:c r="D123" s="54" t="str">
        <x:v>Corporate</x:v>
      </x:c>
      <x:c r="E123" s="54" t="str">
        <x:v>P&amp;L Activity</x:v>
      </x:c>
      <x:c r="F123" s="190" t="n">
        <x:v>0.0249</x:v>
      </x:c>
      <x:c r="G123" s="54" t="str">
        <x:v>Synthetic ERP Export</x:v>
      </x:c>
      <x:c r="H123" s="54" t="str">
        <x:v>FY2026_DEMO</x:v>
      </x:c>
      <x:c r="I123" s="96" t="str">
        <x:f>IF($B123="","",IF(COUNTIF(Account_Map!$A$6:$A$31,$B123)&gt;0,"Mapped","UNMAPPED"))</x:f>
        <x:v>Mapped</x:v>
      </x:c>
    </x:row>
    <x:row r="124">
      <x:c r="A124" s="189" t="n">
        <x:v>46234</x:v>
      </x:c>
      <x:c r="B124" s="54" t="str">
        <x:v>7200</x:v>
      </x:c>
      <x:c r="C124" s="54" t="str">
        <x:v>Income Taxes</x:v>
      </x:c>
      <x:c r="D124" s="54" t="str">
        <x:v>Corporate</x:v>
      </x:c>
      <x:c r="E124" s="54" t="str">
        <x:v>P&amp;L Activity</x:v>
      </x:c>
      <x:c r="F124" s="190" t="n">
        <x:v>0.035275</x:v>
      </x:c>
      <x:c r="G124" s="54" t="str">
        <x:v>Synthetic ERP Export</x:v>
      </x:c>
      <x:c r="H124" s="54" t="str">
        <x:v>FY2026_DEMO</x:v>
      </x:c>
      <x:c r="I124" s="96" t="str">
        <x:f>IF($B124="","",IF(COUNTIF(Account_Map!$A$6:$A$31,$B124)&gt;0,"Mapped","UNMAPPED"))</x:f>
        <x:v>Mapped</x:v>
      </x:c>
    </x:row>
    <x:row r="125">
      <x:c r="A125" s="189" t="n">
        <x:v>46265</x:v>
      </x:c>
      <x:c r="B125" s="54" t="str">
        <x:v>1000</x:v>
      </x:c>
      <x:c r="C125" s="54" t="str">
        <x:v>Cash &amp; Cash Equivalents</x:v>
      </x:c>
      <x:c r="D125" s="54" t="str">
        <x:v>Corporate</x:v>
      </x:c>
      <x:c r="E125" s="54" t="str">
        <x:v>BS Snapshot</x:v>
      </x:c>
      <x:c r="F125" s="190" t="n">
        <x:v>3.783333</x:v>
      </x:c>
      <x:c r="G125" s="54" t="str">
        <x:v>Synthetic ERP Export</x:v>
      </x:c>
      <x:c r="H125" s="54" t="str">
        <x:v>FY2026_DEMO</x:v>
      </x:c>
      <x:c r="I125" s="96" t="str">
        <x:f>IF($B125="","",IF(COUNTIF(Account_Map!$A$6:$A$31,$B125)&gt;0,"Mapped","UNMAPPED"))</x:f>
        <x:v>Mapped</x:v>
      </x:c>
    </x:row>
    <x:row r="126">
      <x:c r="A126" s="189" t="n">
        <x:v>46265</x:v>
      </x:c>
      <x:c r="B126" s="54" t="str">
        <x:v>1100</x:v>
      </x:c>
      <x:c r="C126" s="54" t="str">
        <x:v>Accounts Receivable</x:v>
      </x:c>
      <x:c r="D126" s="54" t="str">
        <x:v>Corporate</x:v>
      </x:c>
      <x:c r="E126" s="54" t="str">
        <x:v>BS Snapshot</x:v>
      </x:c>
      <x:c r="F126" s="190" t="n">
        <x:v>2.343836</x:v>
      </x:c>
      <x:c r="G126" s="54" t="str">
        <x:v>Synthetic ERP Export</x:v>
      </x:c>
      <x:c r="H126" s="54" t="str">
        <x:v>FY2026_DEMO</x:v>
      </x:c>
      <x:c r="I126" s="96" t="str">
        <x:f>IF($B126="","",IF(COUNTIF(Account_Map!$A$6:$A$31,$B126)&gt;0,"Mapped","UNMAPPED"))</x:f>
        <x:v>Mapped</x:v>
      </x:c>
    </x:row>
    <x:row r="127">
      <x:c r="A127" s="189" t="n">
        <x:v>46265</x:v>
      </x:c>
      <x:c r="B127" s="54" t="str">
        <x:v>1200</x:v>
      </x:c>
      <x:c r="C127" s="54" t="str">
        <x:v>Other Current Assets</x:v>
      </x:c>
      <x:c r="D127" s="54" t="str">
        <x:v>Corporate</x:v>
      </x:c>
      <x:c r="E127" s="54" t="str">
        <x:v>BS Snapshot</x:v>
      </x:c>
      <x:c r="F127" s="190" t="n">
        <x:v>0.56</x:v>
      </x:c>
      <x:c r="G127" s="54" t="str">
        <x:v>Synthetic ERP Export</x:v>
      </x:c>
      <x:c r="H127" s="54" t="str">
        <x:v>FY2026_DEMO</x:v>
      </x:c>
      <x:c r="I127" s="96" t="str">
        <x:f>IF($B127="","",IF(COUNTIF(Account_Map!$A$6:$A$31,$B127)&gt;0,"Mapped","UNMAPPED"))</x:f>
        <x:v>Mapped</x:v>
      </x:c>
    </x:row>
    <x:row r="128">
      <x:c r="A128" s="189" t="n">
        <x:v>46265</x:v>
      </x:c>
      <x:c r="B128" s="54" t="str">
        <x:v>1500</x:v>
      </x:c>
      <x:c r="C128" s="54" t="str">
        <x:v>PP&amp;E, Net</x:v>
      </x:c>
      <x:c r="D128" s="54" t="str">
        <x:v>Corporate</x:v>
      </x:c>
      <x:c r="E128" s="54" t="str">
        <x:v>BS Snapshot</x:v>
      </x:c>
      <x:c r="F128" s="190" t="n">
        <x:v>1.916667</x:v>
      </x:c>
      <x:c r="G128" s="54" t="str">
        <x:v>Synthetic ERP Export</x:v>
      </x:c>
      <x:c r="H128" s="54" t="str">
        <x:v>FY2026_DEMO</x:v>
      </x:c>
      <x:c r="I128" s="96" t="str">
        <x:f>IF($B128="","",IF(COUNTIF(Account_Map!$A$6:$A$31,$B128)&gt;0,"Mapped","UNMAPPED"))</x:f>
        <x:v>Mapped</x:v>
      </x:c>
    </x:row>
    <x:row r="129">
      <x:c r="A129" s="189" t="n">
        <x:v>46265</x:v>
      </x:c>
      <x:c r="B129" s="54" t="str">
        <x:v>2000</x:v>
      </x:c>
      <x:c r="C129" s="54" t="str">
        <x:v>Accounts Payable</x:v>
      </x:c>
      <x:c r="D129" s="54" t="str">
        <x:v>Corporate</x:v>
      </x:c>
      <x:c r="E129" s="54" t="str">
        <x:v>BS Snapshot</x:v>
      </x:c>
      <x:c r="F129" s="190" t="n">
        <x:v>-0.387306</x:v>
      </x:c>
      <x:c r="G129" s="54" t="str">
        <x:v>Synthetic ERP Export</x:v>
      </x:c>
      <x:c r="H129" s="54" t="str">
        <x:v>FY2026_DEMO</x:v>
      </x:c>
      <x:c r="I129" s="96" t="str">
        <x:f>IF($B129="","",IF(COUNTIF(Account_Map!$A$6:$A$31,$B129)&gt;0,"Mapped","UNMAPPED"))</x:f>
        <x:v>Mapped</x:v>
      </x:c>
    </x:row>
    <x:row r="130">
      <x:c r="A130" s="189" t="n">
        <x:v>46265</x:v>
      </x:c>
      <x:c r="B130" s="54" t="str">
        <x:v>2100</x:v>
      </x:c>
      <x:c r="C130" s="54" t="str">
        <x:v>Accrued Expenses</x:v>
      </x:c>
      <x:c r="D130" s="54" t="str">
        <x:v>Corporate</x:v>
      </x:c>
      <x:c r="E130" s="54" t="str">
        <x:v>BS Snapshot</x:v>
      </x:c>
      <x:c r="F130" s="190" t="n">
        <x:v>-0.962</x:v>
      </x:c>
      <x:c r="G130" s="54" t="str">
        <x:v>Synthetic ERP Export</x:v>
      </x:c>
      <x:c r="H130" s="54" t="str">
        <x:v>FY2026_DEMO</x:v>
      </x:c>
      <x:c r="I130" s="96" t="str">
        <x:f>IF($B130="","",IF(COUNTIF(Account_Map!$A$6:$A$31,$B130)&gt;0,"Mapped","UNMAPPED"))</x:f>
        <x:v>Mapped</x:v>
      </x:c>
    </x:row>
    <x:row r="131">
      <x:c r="A131" s="189" t="n">
        <x:v>46265</x:v>
      </x:c>
      <x:c r="B131" s="54" t="str">
        <x:v>2200</x:v>
      </x:c>
      <x:c r="C131" s="54" t="str">
        <x:v>Deferred Revenue</x:v>
      </x:c>
      <x:c r="D131" s="54" t="str">
        <x:v>Corporate</x:v>
      </x:c>
      <x:c r="E131" s="54" t="str">
        <x:v>BS Snapshot</x:v>
      </x:c>
      <x:c r="F131" s="190" t="n">
        <x:v>-1.9</x:v>
      </x:c>
      <x:c r="G131" s="54" t="str">
        <x:v>Synthetic ERP Export</x:v>
      </x:c>
      <x:c r="H131" s="54" t="str">
        <x:v>FY2026_DEMO</x:v>
      </x:c>
      <x:c r="I131" s="96" t="str">
        <x:f>IF($B131="","",IF(COUNTIF(Account_Map!$A$6:$A$31,$B131)&gt;0,"Mapped","UNMAPPED"))</x:f>
        <x:v>Mapped</x:v>
      </x:c>
    </x:row>
    <x:row r="132">
      <x:c r="A132" s="189" t="n">
        <x:v>46265</x:v>
      </x:c>
      <x:c r="B132" s="54" t="str">
        <x:v>2500</x:v>
      </x:c>
      <x:c r="C132" s="54" t="str">
        <x:v>Debt</x:v>
      </x:c>
      <x:c r="D132" s="54" t="str">
        <x:v>Corporate</x:v>
      </x:c>
      <x:c r="E132" s="54" t="str">
        <x:v>BS Snapshot</x:v>
      </x:c>
      <x:c r="F132" s="190" t="n">
        <x:v>-2.633333</x:v>
      </x:c>
      <x:c r="G132" s="54" t="str">
        <x:v>Synthetic ERP Export</x:v>
      </x:c>
      <x:c r="H132" s="54" t="str">
        <x:v>FY2026_DEMO</x:v>
      </x:c>
      <x:c r="I132" s="96" t="str">
        <x:f>IF($B132="","",IF(COUNTIF(Account_Map!$A$6:$A$31,$B132)&gt;0,"Mapped","UNMAPPED"))</x:f>
        <x:v>Mapped</x:v>
      </x:c>
    </x:row>
    <x:row r="133">
      <x:c r="A133" s="189" t="n">
        <x:v>46265</x:v>
      </x:c>
      <x:c r="B133" s="54" t="str">
        <x:v>3000</x:v>
      </x:c>
      <x:c r="C133" s="54" t="str">
        <x:v>Equity</x:v>
      </x:c>
      <x:c r="D133" s="54" t="str">
        <x:v>Corporate</x:v>
      </x:c>
      <x:c r="E133" s="54" t="str">
        <x:v>BS Snapshot</x:v>
      </x:c>
      <x:c r="F133" s="190" t="n">
        <x:v>-2.76453</x:v>
      </x:c>
      <x:c r="G133" s="54" t="str">
        <x:v>Synthetic ERP Export</x:v>
      </x:c>
      <x:c r="H133" s="54" t="str">
        <x:v>FY2026_DEMO</x:v>
      </x:c>
      <x:c r="I133" s="96" t="str">
        <x:f>IF($B133="","",IF(COUNTIF(Account_Map!$A$6:$A$31,$B133)&gt;0,"Mapped","UNMAPPED"))</x:f>
        <x:v>Mapped</x:v>
      </x:c>
    </x:row>
    <x:row r="134">
      <x:c r="A134" s="189" t="n">
        <x:v>46265</x:v>
      </x:c>
      <x:c r="B134" s="54" t="str">
        <x:v>4000</x:v>
      </x:c>
      <x:c r="C134" s="54" t="str">
        <x:v>Subscription Revenue</x:v>
      </x:c>
      <x:c r="D134" s="54" t="str">
        <x:v>Sales</x:v>
      </x:c>
      <x:c r="E134" s="54" t="str">
        <x:v>P&amp;L Activity</x:v>
      </x:c>
      <x:c r="F134" s="190" t="n">
        <x:v>-1.7</x:v>
      </x:c>
      <x:c r="G134" s="54" t="str">
        <x:v>Synthetic ERP Export</x:v>
      </x:c>
      <x:c r="H134" s="54" t="str">
        <x:v>FY2026_DEMO</x:v>
      </x:c>
      <x:c r="I134" s="96" t="str">
        <x:f>IF($B134="","",IF(COUNTIF(Account_Map!$A$6:$A$31,$B134)&gt;0,"Mapped","UNMAPPED"))</x:f>
        <x:v>Mapped</x:v>
      </x:c>
    </x:row>
    <x:row r="135">
      <x:c r="A135" s="189" t="n">
        <x:v>46265</x:v>
      </x:c>
      <x:c r="B135" s="54" t="str">
        <x:v>5000</x:v>
      </x:c>
      <x:c r="C135" s="54" t="str">
        <x:v>Hosting &amp; Service Delivery</x:v>
      </x:c>
      <x:c r="D135" s="54" t="str">
        <x:v>Operations</x:v>
      </x:c>
      <x:c r="E135" s="54" t="str">
        <x:v>P&amp;L Activity</x:v>
      </x:c>
      <x:c r="F135" s="190" t="n">
        <x:v>0.425</x:v>
      </x:c>
      <x:c r="G135" s="54" t="str">
        <x:v>Synthetic ERP Export</x:v>
      </x:c>
      <x:c r="H135" s="54" t="str">
        <x:v>FY2026_DEMO</x:v>
      </x:c>
      <x:c r="I135" s="96" t="str">
        <x:f>IF($B135="","",IF(COUNTIF(Account_Map!$A$6:$A$31,$B135)&gt;0,"Mapped","UNMAPPED"))</x:f>
        <x:v>Mapped</x:v>
      </x:c>
    </x:row>
    <x:row r="136">
      <x:c r="A136" s="189" t="n">
        <x:v>46265</x:v>
      </x:c>
      <x:c r="B136" s="54" t="str">
        <x:v>6100</x:v>
      </x:c>
      <x:c r="C136" s="54" t="str">
        <x:v>Sales &amp; Marketing</x:v>
      </x:c>
      <x:c r="D136" s="54" t="str">
        <x:v>Sales &amp; Marketing</x:v>
      </x:c>
      <x:c r="E136" s="54" t="str">
        <x:v>P&amp;L Activity</x:v>
      </x:c>
      <x:c r="F136" s="190" t="n">
        <x:v>0.51</x:v>
      </x:c>
      <x:c r="G136" s="54" t="str">
        <x:v>Synthetic ERP Export</x:v>
      </x:c>
      <x:c r="H136" s="54" t="str">
        <x:v>FY2026_DEMO</x:v>
      </x:c>
      <x:c r="I136" s="96" t="str">
        <x:f>IF($B136="","",IF(COUNTIF(Account_Map!$A$6:$A$31,$B136)&gt;0,"Mapped","UNMAPPED"))</x:f>
        <x:v>Mapped</x:v>
      </x:c>
    </x:row>
    <x:row r="137">
      <x:c r="A137" s="189" t="n">
        <x:v>46265</x:v>
      </x:c>
      <x:c r="B137" s="54" t="str">
        <x:v>6200</x:v>
      </x:c>
      <x:c r="C137" s="54" t="str">
        <x:v>Research &amp; Development</x:v>
      </x:c>
      <x:c r="D137" s="54" t="str">
        <x:v>Product &amp; Engineering</x:v>
      </x:c>
      <x:c r="E137" s="54" t="str">
        <x:v>P&amp;L Activity</x:v>
      </x:c>
      <x:c r="F137" s="190" t="n">
        <x:v>0.306</x:v>
      </x:c>
      <x:c r="G137" s="54" t="str">
        <x:v>Synthetic ERP Export</x:v>
      </x:c>
      <x:c r="H137" s="54" t="str">
        <x:v>FY2026_DEMO</x:v>
      </x:c>
      <x:c r="I137" s="96" t="str">
        <x:f>IF($B137="","",IF(COUNTIF(Account_Map!$A$6:$A$31,$B137)&gt;0,"Mapped","UNMAPPED"))</x:f>
        <x:v>Mapped</x:v>
      </x:c>
    </x:row>
    <x:row r="138">
      <x:c r="A138" s="189" t="n">
        <x:v>46265</x:v>
      </x:c>
      <x:c r="B138" s="54" t="str">
        <x:v>6300</x:v>
      </x:c>
      <x:c r="C138" s="54" t="str">
        <x:v>General &amp; Administrative</x:v>
      </x:c>
      <x:c r="D138" s="54" t="str">
        <x:v>Corporate</x:v>
      </x:c>
      <x:c r="E138" s="54" t="str">
        <x:v>P&amp;L Activity</x:v>
      </x:c>
      <x:c r="F138" s="190" t="n">
        <x:v>0.255</x:v>
      </x:c>
      <x:c r="G138" s="54" t="str">
        <x:v>Synthetic ERP Export</x:v>
      </x:c>
      <x:c r="H138" s="54" t="str">
        <x:v>FY2026_DEMO</x:v>
      </x:c>
      <x:c r="I138" s="96" t="str">
        <x:f>IF($B138="","",IF(COUNTIF(Account_Map!$A$6:$A$31,$B138)&gt;0,"Mapped","UNMAPPED"))</x:f>
        <x:v>Mapped</x:v>
      </x:c>
    </x:row>
    <x:row r="139">
      <x:c r="A139" s="189" t="n">
        <x:v>46265</x:v>
      </x:c>
      <x:c r="B139" s="54" t="str">
        <x:v>7000</x:v>
      </x:c>
      <x:c r="C139" s="54" t="str">
        <x:v>Depreciation &amp; Amortization</x:v>
      </x:c>
      <x:c r="D139" s="54" t="str">
        <x:v>Corporate</x:v>
      </x:c>
      <x:c r="E139" s="54" t="str">
        <x:v>P&amp;L Activity</x:v>
      </x:c>
      <x:c r="F139" s="190" t="n">
        <x:v>0.034</x:v>
      </x:c>
      <x:c r="G139" s="54" t="str">
        <x:v>Synthetic ERP Export</x:v>
      </x:c>
      <x:c r="H139" s="54" t="str">
        <x:v>FY2026_DEMO</x:v>
      </x:c>
      <x:c r="I139" s="96" t="str">
        <x:f>IF($B139="","",IF(COUNTIF(Account_Map!$A$6:$A$31,$B139)&gt;0,"Mapped","UNMAPPED"))</x:f>
        <x:v>Mapped</x:v>
      </x:c>
    </x:row>
    <x:row r="140">
      <x:c r="A140" s="189" t="n">
        <x:v>46265</x:v>
      </x:c>
      <x:c r="B140" s="54" t="str">
        <x:v>7100</x:v>
      </x:c>
      <x:c r="C140" s="54" t="str">
        <x:v>Interest Expense</x:v>
      </x:c>
      <x:c r="D140" s="54" t="str">
        <x:v>Corporate</x:v>
      </x:c>
      <x:c r="E140" s="54" t="str">
        <x:v>P&amp;L Activity</x:v>
      </x:c>
      <x:c r="F140" s="190" t="n">
        <x:v>0.0255</x:v>
      </x:c>
      <x:c r="G140" s="54" t="str">
        <x:v>Synthetic ERP Export</x:v>
      </x:c>
      <x:c r="H140" s="54" t="str">
        <x:v>FY2026_DEMO</x:v>
      </x:c>
      <x:c r="I140" s="96" t="str">
        <x:f>IF($B140="","",IF(COUNTIF(Account_Map!$A$6:$A$31,$B140)&gt;0,"Mapped","UNMAPPED"))</x:f>
        <x:v>Mapped</x:v>
      </x:c>
    </x:row>
    <x:row r="141">
      <x:c r="A141" s="189" t="n">
        <x:v>46265</x:v>
      </x:c>
      <x:c r="B141" s="54" t="str">
        <x:v>7200</x:v>
      </x:c>
      <x:c r="C141" s="54" t="str">
        <x:v>Income Taxes</x:v>
      </x:c>
      <x:c r="D141" s="54" t="str">
        <x:v>Corporate</x:v>
      </x:c>
      <x:c r="E141" s="54" t="str">
        <x:v>P&amp;L Activity</x:v>
      </x:c>
      <x:c r="F141" s="190" t="n">
        <x:v>0.036125</x:v>
      </x:c>
      <x:c r="G141" s="54" t="str">
        <x:v>Synthetic ERP Export</x:v>
      </x:c>
      <x:c r="H141" s="54" t="str">
        <x:v>FY2026_DEMO</x:v>
      </x:c>
      <x:c r="I141" s="96" t="str">
        <x:f>IF($B141="","",IF(COUNTIF(Account_Map!$A$6:$A$31,$B141)&gt;0,"Mapped","UNMAPPED"))</x:f>
        <x:v>Mapped</x:v>
      </x:c>
    </x:row>
    <x:row r="142">
      <x:c r="A142" s="189" t="n">
        <x:v>46295</x:v>
      </x:c>
      <x:c r="B142" s="54" t="str">
        <x:v>1000</x:v>
      </x:c>
      <x:c r="C142" s="54" t="str">
        <x:v>Cash &amp; Cash Equivalents</x:v>
      </x:c>
      <x:c r="D142" s="54" t="str">
        <x:v>Corporate</x:v>
      </x:c>
      <x:c r="E142" s="54" t="str">
        <x:v>BS Snapshot</x:v>
      </x:c>
      <x:c r="F142" s="190" t="n">
        <x:v>3.8375</x:v>
      </x:c>
      <x:c r="G142" s="54" t="str">
        <x:v>Synthetic ERP Export</x:v>
      </x:c>
      <x:c r="H142" s="54" t="str">
        <x:v>FY2026_DEMO</x:v>
      </x:c>
      <x:c r="I142" s="96" t="str">
        <x:f>IF($B142="","",IF(COUNTIF(Account_Map!$A$6:$A$31,$B142)&gt;0,"Mapped","UNMAPPED"))</x:f>
        <x:v>Mapped</x:v>
      </x:c>
    </x:row>
    <x:row r="143">
      <x:c r="A143" s="189" t="n">
        <x:v>46295</x:v>
      </x:c>
      <x:c r="B143" s="54" t="str">
        <x:v>1100</x:v>
      </x:c>
      <x:c r="C143" s="54" t="str">
        <x:v>Accounts Receivable</x:v>
      </x:c>
      <x:c r="D143" s="54" t="str">
        <x:v>Corporate</x:v>
      </x:c>
      <x:c r="E143" s="54" t="str">
        <x:v>BS Snapshot</x:v>
      </x:c>
      <x:c r="F143" s="190" t="n">
        <x:v>2.374315</x:v>
      </x:c>
      <x:c r="G143" s="54" t="str">
        <x:v>Synthetic ERP Export</x:v>
      </x:c>
      <x:c r="H143" s="54" t="str">
        <x:v>FY2026_DEMO</x:v>
      </x:c>
      <x:c r="I143" s="96" t="str">
        <x:f>IF($B143="","",IF(COUNTIF(Account_Map!$A$6:$A$31,$B143)&gt;0,"Mapped","UNMAPPED"))</x:f>
        <x:v>Mapped</x:v>
      </x:c>
    </x:row>
    <x:row r="144">
      <x:c r="A144" s="189" t="n">
        <x:v>46295</x:v>
      </x:c>
      <x:c r="B144" s="54" t="str">
        <x:v>1200</x:v>
      </x:c>
      <x:c r="C144" s="54" t="str">
        <x:v>Other Current Assets</x:v>
      </x:c>
      <x:c r="D144" s="54" t="str">
        <x:v>Corporate</x:v>
      </x:c>
      <x:c r="E144" s="54" t="str">
        <x:v>BS Snapshot</x:v>
      </x:c>
      <x:c r="F144" s="190" t="n">
        <x:v>0.57</x:v>
      </x:c>
      <x:c r="G144" s="54" t="str">
        <x:v>Synthetic ERP Export</x:v>
      </x:c>
      <x:c r="H144" s="54" t="str">
        <x:v>FY2026_DEMO</x:v>
      </x:c>
      <x:c r="I144" s="96" t="str">
        <x:f>IF($B144="","",IF(COUNTIF(Account_Map!$A$6:$A$31,$B144)&gt;0,"Mapped","UNMAPPED"))</x:f>
        <x:v>Mapped</x:v>
      </x:c>
    </x:row>
    <x:row r="145">
      <x:c r="A145" s="189" t="n">
        <x:v>46295</x:v>
      </x:c>
      <x:c r="B145" s="54" t="str">
        <x:v>1500</x:v>
      </x:c>
      <x:c r="C145" s="54" t="str">
        <x:v>PP&amp;E, Net</x:v>
      </x:c>
      <x:c r="D145" s="54" t="str">
        <x:v>Corporate</x:v>
      </x:c>
      <x:c r="E145" s="54" t="str">
        <x:v>BS Snapshot</x:v>
      </x:c>
      <x:c r="F145" s="190" t="n">
        <x:v>1.9375</x:v>
      </x:c>
      <x:c r="G145" s="54" t="str">
        <x:v>Synthetic ERP Export</x:v>
      </x:c>
      <x:c r="H145" s="54" t="str">
        <x:v>FY2026_DEMO</x:v>
      </x:c>
      <x:c r="I145" s="96" t="str">
        <x:f>IF($B145="","",IF(COUNTIF(Account_Map!$A$6:$A$31,$B145)&gt;0,"Mapped","UNMAPPED"))</x:f>
        <x:v>Mapped</x:v>
      </x:c>
    </x:row>
    <x:row r="146">
      <x:c r="A146" s="189" t="n">
        <x:v>46295</x:v>
      </x:c>
      <x:c r="B146" s="54" t="str">
        <x:v>2000</x:v>
      </x:c>
      <x:c r="C146" s="54" t="str">
        <x:v>Accounts Payable</x:v>
      </x:c>
      <x:c r="D146" s="54" t="str">
        <x:v>Corporate</x:v>
      </x:c>
      <x:c r="E146" s="54" t="str">
        <x:v>BS Snapshot</x:v>
      </x:c>
      <x:c r="F146" s="190" t="n">
        <x:v>-0.393219</x:v>
      </x:c>
      <x:c r="G146" s="54" t="str">
        <x:v>Synthetic ERP Export</x:v>
      </x:c>
      <x:c r="H146" s="54" t="str">
        <x:v>FY2026_DEMO</x:v>
      </x:c>
      <x:c r="I146" s="96" t="str">
        <x:f>IF($B146="","",IF(COUNTIF(Account_Map!$A$6:$A$31,$B146)&gt;0,"Mapped","UNMAPPED"))</x:f>
        <x:v>Mapped</x:v>
      </x:c>
    </x:row>
    <x:row r="147">
      <x:c r="A147" s="189" t="n">
        <x:v>46295</x:v>
      </x:c>
      <x:c r="B147" s="54" t="str">
        <x:v>2100</x:v>
      </x:c>
      <x:c r="C147" s="54" t="str">
        <x:v>Accrued Expenses</x:v>
      </x:c>
      <x:c r="D147" s="54" t="str">
        <x:v>Corporate</x:v>
      </x:c>
      <x:c r="E147" s="54" t="str">
        <x:v>BS Snapshot</x:v>
      </x:c>
      <x:c r="F147" s="190" t="n">
        <x:v>-0.9735</x:v>
      </x:c>
      <x:c r="G147" s="54" t="str">
        <x:v>Synthetic ERP Export</x:v>
      </x:c>
      <x:c r="H147" s="54" t="str">
        <x:v>FY2026_DEMO</x:v>
      </x:c>
      <x:c r="I147" s="96" t="str">
        <x:f>IF($B147="","",IF(COUNTIF(Account_Map!$A$6:$A$31,$B147)&gt;0,"Mapped","UNMAPPED"))</x:f>
        <x:v>Mapped</x:v>
      </x:c>
    </x:row>
    <x:row r="148">
      <x:c r="A148" s="189" t="n">
        <x:v>46295</x:v>
      </x:c>
      <x:c r="B148" s="54" t="str">
        <x:v>2200</x:v>
      </x:c>
      <x:c r="C148" s="54" t="str">
        <x:v>Deferred Revenue</x:v>
      </x:c>
      <x:c r="D148" s="54" t="str">
        <x:v>Corporate</x:v>
      </x:c>
      <x:c r="E148" s="54" t="str">
        <x:v>BS Snapshot</x:v>
      </x:c>
      <x:c r="F148" s="190" t="n">
        <x:v>-1.925</x:v>
      </x:c>
      <x:c r="G148" s="54" t="str">
        <x:v>Synthetic ERP Export</x:v>
      </x:c>
      <x:c r="H148" s="54" t="str">
        <x:v>FY2026_DEMO</x:v>
      </x:c>
      <x:c r="I148" s="96" t="str">
        <x:f>IF($B148="","",IF(COUNTIF(Account_Map!$A$6:$A$31,$B148)&gt;0,"Mapped","UNMAPPED"))</x:f>
        <x:v>Mapped</x:v>
      </x:c>
    </x:row>
    <x:row r="149">
      <x:c r="A149" s="189" t="n">
        <x:v>46295</x:v>
      </x:c>
      <x:c r="B149" s="54" t="str">
        <x:v>2500</x:v>
      </x:c>
      <x:c r="C149" s="54" t="str">
        <x:v>Debt</x:v>
      </x:c>
      <x:c r="D149" s="54" t="str">
        <x:v>Corporate</x:v>
      </x:c>
      <x:c r="E149" s="54" t="str">
        <x:v>BS Snapshot</x:v>
      </x:c>
      <x:c r="F149" s="190" t="n">
        <x:v>-2.6</x:v>
      </x:c>
      <x:c r="G149" s="54" t="str">
        <x:v>Synthetic ERP Export</x:v>
      </x:c>
      <x:c r="H149" s="54" t="str">
        <x:v>FY2026_DEMO</x:v>
      </x:c>
      <x:c r="I149" s="96" t="str">
        <x:f>IF($B149="","",IF(COUNTIF(Account_Map!$A$6:$A$31,$B149)&gt;0,"Mapped","UNMAPPED"))</x:f>
        <x:v>Mapped</x:v>
      </x:c>
    </x:row>
    <x:row r="150">
      <x:c r="A150" s="189" t="n">
        <x:v>46295</x:v>
      </x:c>
      <x:c r="B150" s="54" t="str">
        <x:v>3000</x:v>
      </x:c>
      <x:c r="C150" s="54" t="str">
        <x:v>Equity</x:v>
      </x:c>
      <x:c r="D150" s="54" t="str">
        <x:v>Corporate</x:v>
      </x:c>
      <x:c r="E150" s="54" t="str">
        <x:v>BS Snapshot</x:v>
      </x:c>
      <x:c r="F150" s="190" t="n">
        <x:v>-2.860096</x:v>
      </x:c>
      <x:c r="G150" s="54" t="str">
        <x:v>Synthetic ERP Export</x:v>
      </x:c>
      <x:c r="H150" s="54" t="str">
        <x:v>FY2026_DEMO</x:v>
      </x:c>
      <x:c r="I150" s="96" t="str">
        <x:f>IF($B150="","",IF(COUNTIF(Account_Map!$A$6:$A$31,$B150)&gt;0,"Mapped","UNMAPPED"))</x:f>
        <x:v>Mapped</x:v>
      </x:c>
    </x:row>
    <x:row r="151">
      <x:c r="A151" s="189" t="n">
        <x:v>46295</x:v>
      </x:c>
      <x:c r="B151" s="54" t="str">
        <x:v>4000</x:v>
      </x:c>
      <x:c r="C151" s="54" t="str">
        <x:v>Subscription Revenue</x:v>
      </x:c>
      <x:c r="D151" s="54" t="str">
        <x:v>Sales</x:v>
      </x:c>
      <x:c r="E151" s="54" t="str">
        <x:v>P&amp;L Activity</x:v>
      </x:c>
      <x:c r="F151" s="190" t="n">
        <x:v>-1.74</x:v>
      </x:c>
      <x:c r="G151" s="54" t="str">
        <x:v>Synthetic ERP Export</x:v>
      </x:c>
      <x:c r="H151" s="54" t="str">
        <x:v>FY2026_DEMO</x:v>
      </x:c>
      <x:c r="I151" s="96" t="str">
        <x:f>IF($B151="","",IF(COUNTIF(Account_Map!$A$6:$A$31,$B151)&gt;0,"Mapped","UNMAPPED"))</x:f>
        <x:v>Mapped</x:v>
      </x:c>
    </x:row>
    <x:row r="152">
      <x:c r="A152" s="189" t="n">
        <x:v>46295</x:v>
      </x:c>
      <x:c r="B152" s="54" t="str">
        <x:v>5000</x:v>
      </x:c>
      <x:c r="C152" s="54" t="str">
        <x:v>Hosting &amp; Service Delivery</x:v>
      </x:c>
      <x:c r="D152" s="54" t="str">
        <x:v>Operations</x:v>
      </x:c>
      <x:c r="E152" s="54" t="str">
        <x:v>P&amp;L Activity</x:v>
      </x:c>
      <x:c r="F152" s="190" t="n">
        <x:v>0.435</x:v>
      </x:c>
      <x:c r="G152" s="54" t="str">
        <x:v>Synthetic ERP Export</x:v>
      </x:c>
      <x:c r="H152" s="54" t="str">
        <x:v>FY2026_DEMO</x:v>
      </x:c>
      <x:c r="I152" s="96" t="str">
        <x:f>IF($B152="","",IF(COUNTIF(Account_Map!$A$6:$A$31,$B152)&gt;0,"Mapped","UNMAPPED"))</x:f>
        <x:v>Mapped</x:v>
      </x:c>
    </x:row>
    <x:row r="153">
      <x:c r="A153" s="189" t="n">
        <x:v>46295</x:v>
      </x:c>
      <x:c r="B153" s="54" t="str">
        <x:v>6100</x:v>
      </x:c>
      <x:c r="C153" s="54" t="str">
        <x:v>Sales &amp; Marketing</x:v>
      </x:c>
      <x:c r="D153" s="54" t="str">
        <x:v>Sales &amp; Marketing</x:v>
      </x:c>
      <x:c r="E153" s="54" t="str">
        <x:v>P&amp;L Activity</x:v>
      </x:c>
      <x:c r="F153" s="190" t="n">
        <x:v>0.522</x:v>
      </x:c>
      <x:c r="G153" s="54" t="str">
        <x:v>Synthetic ERP Export</x:v>
      </x:c>
      <x:c r="H153" s="54" t="str">
        <x:v>FY2026_DEMO</x:v>
      </x:c>
      <x:c r="I153" s="96" t="str">
        <x:f>IF($B153="","",IF(COUNTIF(Account_Map!$A$6:$A$31,$B153)&gt;0,"Mapped","UNMAPPED"))</x:f>
        <x:v>Mapped</x:v>
      </x:c>
    </x:row>
    <x:row r="154">
      <x:c r="A154" s="189" t="n">
        <x:v>46295</x:v>
      </x:c>
      <x:c r="B154" s="54" t="str">
        <x:v>6200</x:v>
      </x:c>
      <x:c r="C154" s="54" t="str">
        <x:v>Research &amp; Development</x:v>
      </x:c>
      <x:c r="D154" s="54" t="str">
        <x:v>Product &amp; Engineering</x:v>
      </x:c>
      <x:c r="E154" s="54" t="str">
        <x:v>P&amp;L Activity</x:v>
      </x:c>
      <x:c r="F154" s="190" t="n">
        <x:v>0.3132</x:v>
      </x:c>
      <x:c r="G154" s="54" t="str">
        <x:v>Synthetic ERP Export</x:v>
      </x:c>
      <x:c r="H154" s="54" t="str">
        <x:v>FY2026_DEMO</x:v>
      </x:c>
      <x:c r="I154" s="96" t="str">
        <x:f>IF($B154="","",IF(COUNTIF(Account_Map!$A$6:$A$31,$B154)&gt;0,"Mapped","UNMAPPED"))</x:f>
        <x:v>Mapped</x:v>
      </x:c>
    </x:row>
    <x:row r="155">
      <x:c r="A155" s="189" t="n">
        <x:v>46295</x:v>
      </x:c>
      <x:c r="B155" s="54" t="str">
        <x:v>6300</x:v>
      </x:c>
      <x:c r="C155" s="54" t="str">
        <x:v>General &amp; Administrative</x:v>
      </x:c>
      <x:c r="D155" s="54" t="str">
        <x:v>Corporate</x:v>
      </x:c>
      <x:c r="E155" s="54" t="str">
        <x:v>P&amp;L Activity</x:v>
      </x:c>
      <x:c r="F155" s="190" t="n">
        <x:v>0.261</x:v>
      </x:c>
      <x:c r="G155" s="54" t="str">
        <x:v>Synthetic ERP Export</x:v>
      </x:c>
      <x:c r="H155" s="54" t="str">
        <x:v>FY2026_DEMO</x:v>
      </x:c>
      <x:c r="I155" s="96" t="str">
        <x:f>IF($B155="","",IF(COUNTIF(Account_Map!$A$6:$A$31,$B155)&gt;0,"Mapped","UNMAPPED"))</x:f>
        <x:v>Mapped</x:v>
      </x:c>
    </x:row>
    <x:row r="156">
      <x:c r="A156" s="189" t="n">
        <x:v>46295</x:v>
      </x:c>
      <x:c r="B156" s="54" t="str">
        <x:v>7000</x:v>
      </x:c>
      <x:c r="C156" s="54" t="str">
        <x:v>Depreciation &amp; Amortization</x:v>
      </x:c>
      <x:c r="D156" s="54" t="str">
        <x:v>Corporate</x:v>
      </x:c>
      <x:c r="E156" s="54" t="str">
        <x:v>P&amp;L Activity</x:v>
      </x:c>
      <x:c r="F156" s="190" t="n">
        <x:v>0.0348</x:v>
      </x:c>
      <x:c r="G156" s="54" t="str">
        <x:v>Synthetic ERP Export</x:v>
      </x:c>
      <x:c r="H156" s="54" t="str">
        <x:v>FY2026_DEMO</x:v>
      </x:c>
      <x:c r="I156" s="96" t="str">
        <x:f>IF($B156="","",IF(COUNTIF(Account_Map!$A$6:$A$31,$B156)&gt;0,"Mapped","UNMAPPED"))</x:f>
        <x:v>Mapped</x:v>
      </x:c>
    </x:row>
    <x:row r="157">
      <x:c r="A157" s="189" t="n">
        <x:v>46295</x:v>
      </x:c>
      <x:c r="B157" s="54" t="str">
        <x:v>7100</x:v>
      </x:c>
      <x:c r="C157" s="54" t="str">
        <x:v>Interest Expense</x:v>
      </x:c>
      <x:c r="D157" s="54" t="str">
        <x:v>Corporate</x:v>
      </x:c>
      <x:c r="E157" s="54" t="str">
        <x:v>P&amp;L Activity</x:v>
      </x:c>
      <x:c r="F157" s="190" t="n">
        <x:v>0.0261</x:v>
      </x:c>
      <x:c r="G157" s="54" t="str">
        <x:v>Synthetic ERP Export</x:v>
      </x:c>
      <x:c r="H157" s="54" t="str">
        <x:v>FY2026_DEMO</x:v>
      </x:c>
      <x:c r="I157" s="96" t="str">
        <x:f>IF($B157="","",IF(COUNTIF(Account_Map!$A$6:$A$31,$B157)&gt;0,"Mapped","UNMAPPED"))</x:f>
        <x:v>Mapped</x:v>
      </x:c>
    </x:row>
    <x:row r="158">
      <x:c r="A158" s="189" t="n">
        <x:v>46295</x:v>
      </x:c>
      <x:c r="B158" s="54" t="str">
        <x:v>7200</x:v>
      </x:c>
      <x:c r="C158" s="54" t="str">
        <x:v>Income Taxes</x:v>
      </x:c>
      <x:c r="D158" s="54" t="str">
        <x:v>Corporate</x:v>
      </x:c>
      <x:c r="E158" s="54" t="str">
        <x:v>P&amp;L Activity</x:v>
      </x:c>
      <x:c r="F158" s="190" t="n">
        <x:v>0.036975</x:v>
      </x:c>
      <x:c r="G158" s="54" t="str">
        <x:v>Synthetic ERP Export</x:v>
      </x:c>
      <x:c r="H158" s="54" t="str">
        <x:v>FY2026_DEMO</x:v>
      </x:c>
      <x:c r="I158" s="96" t="str">
        <x:f>IF($B158="","",IF(COUNTIF(Account_Map!$A$6:$A$31,$B158)&gt;0,"Mapped","UNMAPPED"))</x:f>
        <x:v>Mapped</x:v>
      </x:c>
    </x:row>
    <x:row r="159">
      <x:c r="A159" s="189" t="n">
        <x:v>46326</x:v>
      </x:c>
      <x:c r="B159" s="54" t="str">
        <x:v>1000</x:v>
      </x:c>
      <x:c r="C159" s="54" t="str">
        <x:v>Cash &amp; Cash Equivalents</x:v>
      </x:c>
      <x:c r="D159" s="54" t="str">
        <x:v>Corporate</x:v>
      </x:c>
      <x:c r="E159" s="54" t="str">
        <x:v>BS Snapshot</x:v>
      </x:c>
      <x:c r="F159" s="190" t="n">
        <x:v>3.891667</x:v>
      </x:c>
      <x:c r="G159" s="54" t="str">
        <x:v>Synthetic ERP Export</x:v>
      </x:c>
      <x:c r="H159" s="54" t="str">
        <x:v>FY2026_DEMO</x:v>
      </x:c>
      <x:c r="I159" s="96" t="str">
        <x:f>IF($B159="","",IF(COUNTIF(Account_Map!$A$6:$A$31,$B159)&gt;0,"Mapped","UNMAPPED"))</x:f>
        <x:v>Mapped</x:v>
      </x:c>
    </x:row>
    <x:row r="160">
      <x:c r="A160" s="189" t="n">
        <x:v>46326</x:v>
      </x:c>
      <x:c r="B160" s="54" t="str">
        <x:v>1100</x:v>
      </x:c>
      <x:c r="C160" s="54" t="str">
        <x:v>Accounts Receivable</x:v>
      </x:c>
      <x:c r="D160" s="54" t="str">
        <x:v>Corporate</x:v>
      </x:c>
      <x:c r="E160" s="54" t="str">
        <x:v>BS Snapshot</x:v>
      </x:c>
      <x:c r="F160" s="190" t="n">
        <x:v>2.404795</x:v>
      </x:c>
      <x:c r="G160" s="54" t="str">
        <x:v>Synthetic ERP Export</x:v>
      </x:c>
      <x:c r="H160" s="54" t="str">
        <x:v>FY2026_DEMO</x:v>
      </x:c>
      <x:c r="I160" s="96" t="str">
        <x:f>IF($B160="","",IF(COUNTIF(Account_Map!$A$6:$A$31,$B160)&gt;0,"Mapped","UNMAPPED"))</x:f>
        <x:v>Mapped</x:v>
      </x:c>
    </x:row>
    <x:row r="161">
      <x:c r="A161" s="189" t="n">
        <x:v>46326</x:v>
      </x:c>
      <x:c r="B161" s="54" t="str">
        <x:v>1200</x:v>
      </x:c>
      <x:c r="C161" s="54" t="str">
        <x:v>Other Current Assets</x:v>
      </x:c>
      <x:c r="D161" s="54" t="str">
        <x:v>Corporate</x:v>
      </x:c>
      <x:c r="E161" s="54" t="str">
        <x:v>BS Snapshot</x:v>
      </x:c>
      <x:c r="F161" s="190" t="n">
        <x:v>0.58</x:v>
      </x:c>
      <x:c r="G161" s="54" t="str">
        <x:v>Synthetic ERP Export</x:v>
      </x:c>
      <x:c r="H161" s="54" t="str">
        <x:v>FY2026_DEMO</x:v>
      </x:c>
      <x:c r="I161" s="96" t="str">
        <x:f>IF($B161="","",IF(COUNTIF(Account_Map!$A$6:$A$31,$B161)&gt;0,"Mapped","UNMAPPED"))</x:f>
        <x:v>Mapped</x:v>
      </x:c>
    </x:row>
    <x:row r="162">
      <x:c r="A162" s="189" t="n">
        <x:v>46326</x:v>
      </x:c>
      <x:c r="B162" s="54" t="str">
        <x:v>1500</x:v>
      </x:c>
      <x:c r="C162" s="54" t="str">
        <x:v>PP&amp;E, Net</x:v>
      </x:c>
      <x:c r="D162" s="54" t="str">
        <x:v>Corporate</x:v>
      </x:c>
      <x:c r="E162" s="54" t="str">
        <x:v>BS Snapshot</x:v>
      </x:c>
      <x:c r="F162" s="190" t="n">
        <x:v>1.958333</x:v>
      </x:c>
      <x:c r="G162" s="54" t="str">
        <x:v>Synthetic ERP Export</x:v>
      </x:c>
      <x:c r="H162" s="54" t="str">
        <x:v>FY2026_DEMO</x:v>
      </x:c>
      <x:c r="I162" s="96" t="str">
        <x:f>IF($B162="","",IF(COUNTIF(Account_Map!$A$6:$A$31,$B162)&gt;0,"Mapped","UNMAPPED"))</x:f>
        <x:v>Mapped</x:v>
      </x:c>
    </x:row>
    <x:row r="163">
      <x:c r="A163" s="189" t="n">
        <x:v>46326</x:v>
      </x:c>
      <x:c r="B163" s="54" t="str">
        <x:v>2000</x:v>
      </x:c>
      <x:c r="C163" s="54" t="str">
        <x:v>Accounts Payable</x:v>
      </x:c>
      <x:c r="D163" s="54" t="str">
        <x:v>Corporate</x:v>
      </x:c>
      <x:c r="E163" s="54" t="str">
        <x:v>BS Snapshot</x:v>
      </x:c>
      <x:c r="F163" s="190" t="n">
        <x:v>-0.399132</x:v>
      </x:c>
      <x:c r="G163" s="54" t="str">
        <x:v>Synthetic ERP Export</x:v>
      </x:c>
      <x:c r="H163" s="54" t="str">
        <x:v>FY2026_DEMO</x:v>
      </x:c>
      <x:c r="I163" s="96" t="str">
        <x:f>IF($B163="","",IF(COUNTIF(Account_Map!$A$6:$A$31,$B163)&gt;0,"Mapped","UNMAPPED"))</x:f>
        <x:v>Mapped</x:v>
      </x:c>
    </x:row>
    <x:row r="164">
      <x:c r="A164" s="189" t="n">
        <x:v>46326</x:v>
      </x:c>
      <x:c r="B164" s="54" t="str">
        <x:v>2100</x:v>
      </x:c>
      <x:c r="C164" s="54" t="str">
        <x:v>Accrued Expenses</x:v>
      </x:c>
      <x:c r="D164" s="54" t="str">
        <x:v>Corporate</x:v>
      </x:c>
      <x:c r="E164" s="54" t="str">
        <x:v>BS Snapshot</x:v>
      </x:c>
      <x:c r="F164" s="190" t="n">
        <x:v>-0.985</x:v>
      </x:c>
      <x:c r="G164" s="54" t="str">
        <x:v>Synthetic ERP Export</x:v>
      </x:c>
      <x:c r="H164" s="54" t="str">
        <x:v>FY2026_DEMO</x:v>
      </x:c>
      <x:c r="I164" s="96" t="str">
        <x:f>IF($B164="","",IF(COUNTIF(Account_Map!$A$6:$A$31,$B164)&gt;0,"Mapped","UNMAPPED"))</x:f>
        <x:v>Mapped</x:v>
      </x:c>
    </x:row>
    <x:row r="165">
      <x:c r="A165" s="189" t="n">
        <x:v>46326</x:v>
      </x:c>
      <x:c r="B165" s="54" t="str">
        <x:v>2200</x:v>
      </x:c>
      <x:c r="C165" s="54" t="str">
        <x:v>Deferred Revenue</x:v>
      </x:c>
      <x:c r="D165" s="54" t="str">
        <x:v>Corporate</x:v>
      </x:c>
      <x:c r="E165" s="54" t="str">
        <x:v>BS Snapshot</x:v>
      </x:c>
      <x:c r="F165" s="190" t="n">
        <x:v>-1.95</x:v>
      </x:c>
      <x:c r="G165" s="54" t="str">
        <x:v>Synthetic ERP Export</x:v>
      </x:c>
      <x:c r="H165" s="54" t="str">
        <x:v>FY2026_DEMO</x:v>
      </x:c>
      <x:c r="I165" s="96" t="str">
        <x:f>IF($B165="","",IF(COUNTIF(Account_Map!$A$6:$A$31,$B165)&gt;0,"Mapped","UNMAPPED"))</x:f>
        <x:v>Mapped</x:v>
      </x:c>
    </x:row>
    <x:row r="166">
      <x:c r="A166" s="189" t="n">
        <x:v>46326</x:v>
      </x:c>
      <x:c r="B166" s="54" t="str">
        <x:v>2500</x:v>
      </x:c>
      <x:c r="C166" s="54" t="str">
        <x:v>Debt</x:v>
      </x:c>
      <x:c r="D166" s="54" t="str">
        <x:v>Corporate</x:v>
      </x:c>
      <x:c r="E166" s="54" t="str">
        <x:v>BS Snapshot</x:v>
      </x:c>
      <x:c r="F166" s="190" t="n">
        <x:v>-2.566667</x:v>
      </x:c>
      <x:c r="G166" s="54" t="str">
        <x:v>Synthetic ERP Export</x:v>
      </x:c>
      <x:c r="H166" s="54" t="str">
        <x:v>FY2026_DEMO</x:v>
      </x:c>
      <x:c r="I166" s="96" t="str">
        <x:f>IF($B166="","",IF(COUNTIF(Account_Map!$A$6:$A$31,$B166)&gt;0,"Mapped","UNMAPPED"))</x:f>
        <x:v>Mapped</x:v>
      </x:c>
    </x:row>
    <x:row r="167">
      <x:c r="A167" s="189" t="n">
        <x:v>46326</x:v>
      </x:c>
      <x:c r="B167" s="54" t="str">
        <x:v>3000</x:v>
      </x:c>
      <x:c r="C167" s="54" t="str">
        <x:v>Equity</x:v>
      </x:c>
      <x:c r="D167" s="54" t="str">
        <x:v>Corporate</x:v>
      </x:c>
      <x:c r="E167" s="54" t="str">
        <x:v>BS Snapshot</x:v>
      </x:c>
      <x:c r="F167" s="190" t="n">
        <x:v>-2.955662</x:v>
      </x:c>
      <x:c r="G167" s="54" t="str">
        <x:v>Synthetic ERP Export</x:v>
      </x:c>
      <x:c r="H167" s="54" t="str">
        <x:v>FY2026_DEMO</x:v>
      </x:c>
      <x:c r="I167" s="96" t="str">
        <x:f>IF($B167="","",IF(COUNTIF(Account_Map!$A$6:$A$31,$B167)&gt;0,"Mapped","UNMAPPED"))</x:f>
        <x:v>Mapped</x:v>
      </x:c>
    </x:row>
    <x:row r="168">
      <x:c r="A168" s="189" t="n">
        <x:v>46326</x:v>
      </x:c>
      <x:c r="B168" s="54" t="str">
        <x:v>4000</x:v>
      </x:c>
      <x:c r="C168" s="54" t="str">
        <x:v>Subscription Revenue</x:v>
      </x:c>
      <x:c r="D168" s="54" t="str">
        <x:v>Sales</x:v>
      </x:c>
      <x:c r="E168" s="54" t="str">
        <x:v>P&amp;L Activity</x:v>
      </x:c>
      <x:c r="F168" s="190" t="n">
        <x:v>-1.78</x:v>
      </x:c>
      <x:c r="G168" s="54" t="str">
        <x:v>Synthetic ERP Export</x:v>
      </x:c>
      <x:c r="H168" s="54" t="str">
        <x:v>FY2026_DEMO</x:v>
      </x:c>
      <x:c r="I168" s="96" t="str">
        <x:f>IF($B168="","",IF(COUNTIF(Account_Map!$A$6:$A$31,$B168)&gt;0,"Mapped","UNMAPPED"))</x:f>
        <x:v>Mapped</x:v>
      </x:c>
    </x:row>
    <x:row r="169">
      <x:c r="A169" s="189" t="n">
        <x:v>46326</x:v>
      </x:c>
      <x:c r="B169" s="54" t="str">
        <x:v>5000</x:v>
      </x:c>
      <x:c r="C169" s="54" t="str">
        <x:v>Hosting &amp; Service Delivery</x:v>
      </x:c>
      <x:c r="D169" s="54" t="str">
        <x:v>Operations</x:v>
      </x:c>
      <x:c r="E169" s="54" t="str">
        <x:v>P&amp;L Activity</x:v>
      </x:c>
      <x:c r="F169" s="190" t="n">
        <x:v>0.445</x:v>
      </x:c>
      <x:c r="G169" s="54" t="str">
        <x:v>Synthetic ERP Export</x:v>
      </x:c>
      <x:c r="H169" s="54" t="str">
        <x:v>FY2026_DEMO</x:v>
      </x:c>
      <x:c r="I169" s="96" t="str">
        <x:f>IF($B169="","",IF(COUNTIF(Account_Map!$A$6:$A$31,$B169)&gt;0,"Mapped","UNMAPPED"))</x:f>
        <x:v>Mapped</x:v>
      </x:c>
    </x:row>
    <x:row r="170">
      <x:c r="A170" s="189" t="n">
        <x:v>46326</x:v>
      </x:c>
      <x:c r="B170" s="54" t="str">
        <x:v>6100</x:v>
      </x:c>
      <x:c r="C170" s="54" t="str">
        <x:v>Sales &amp; Marketing</x:v>
      </x:c>
      <x:c r="D170" s="54" t="str">
        <x:v>Sales &amp; Marketing</x:v>
      </x:c>
      <x:c r="E170" s="54" t="str">
        <x:v>P&amp;L Activity</x:v>
      </x:c>
      <x:c r="F170" s="190" t="n">
        <x:v>0.534</x:v>
      </x:c>
      <x:c r="G170" s="54" t="str">
        <x:v>Synthetic ERP Export</x:v>
      </x:c>
      <x:c r="H170" s="54" t="str">
        <x:v>FY2026_DEMO</x:v>
      </x:c>
      <x:c r="I170" s="96" t="str">
        <x:f>IF($B170="","",IF(COUNTIF(Account_Map!$A$6:$A$31,$B170)&gt;0,"Mapped","UNMAPPED"))</x:f>
        <x:v>Mapped</x:v>
      </x:c>
    </x:row>
    <x:row r="171">
      <x:c r="A171" s="189" t="n">
        <x:v>46326</x:v>
      </x:c>
      <x:c r="B171" s="54" t="str">
        <x:v>6200</x:v>
      </x:c>
      <x:c r="C171" s="54" t="str">
        <x:v>Research &amp; Development</x:v>
      </x:c>
      <x:c r="D171" s="54" t="str">
        <x:v>Product &amp; Engineering</x:v>
      </x:c>
      <x:c r="E171" s="54" t="str">
        <x:v>P&amp;L Activity</x:v>
      </x:c>
      <x:c r="F171" s="190" t="n">
        <x:v>0.3204</x:v>
      </x:c>
      <x:c r="G171" s="54" t="str">
        <x:v>Synthetic ERP Export</x:v>
      </x:c>
      <x:c r="H171" s="54" t="str">
        <x:v>FY2026_DEMO</x:v>
      </x:c>
      <x:c r="I171" s="96" t="str">
        <x:f>IF($B171="","",IF(COUNTIF(Account_Map!$A$6:$A$31,$B171)&gt;0,"Mapped","UNMAPPED"))</x:f>
        <x:v>Mapped</x:v>
      </x:c>
    </x:row>
    <x:row r="172">
      <x:c r="A172" s="189" t="n">
        <x:v>46326</x:v>
      </x:c>
      <x:c r="B172" s="54" t="str">
        <x:v>6300</x:v>
      </x:c>
      <x:c r="C172" s="54" t="str">
        <x:v>General &amp; Administrative</x:v>
      </x:c>
      <x:c r="D172" s="54" t="str">
        <x:v>Corporate</x:v>
      </x:c>
      <x:c r="E172" s="54" t="str">
        <x:v>P&amp;L Activity</x:v>
      </x:c>
      <x:c r="F172" s="190" t="n">
        <x:v>0.267</x:v>
      </x:c>
      <x:c r="G172" s="54" t="str">
        <x:v>Synthetic ERP Export</x:v>
      </x:c>
      <x:c r="H172" s="54" t="str">
        <x:v>FY2026_DEMO</x:v>
      </x:c>
      <x:c r="I172" s="96" t="str">
        <x:f>IF($B172="","",IF(COUNTIF(Account_Map!$A$6:$A$31,$B172)&gt;0,"Mapped","UNMAPPED"))</x:f>
        <x:v>Mapped</x:v>
      </x:c>
    </x:row>
    <x:row r="173">
      <x:c r="A173" s="189" t="n">
        <x:v>46326</x:v>
      </x:c>
      <x:c r="B173" s="54" t="str">
        <x:v>7000</x:v>
      </x:c>
      <x:c r="C173" s="54" t="str">
        <x:v>Depreciation &amp; Amortization</x:v>
      </x:c>
      <x:c r="D173" s="54" t="str">
        <x:v>Corporate</x:v>
      </x:c>
      <x:c r="E173" s="54" t="str">
        <x:v>P&amp;L Activity</x:v>
      </x:c>
      <x:c r="F173" s="190" t="n">
        <x:v>0.0356</x:v>
      </x:c>
      <x:c r="G173" s="54" t="str">
        <x:v>Synthetic ERP Export</x:v>
      </x:c>
      <x:c r="H173" s="54" t="str">
        <x:v>FY2026_DEMO</x:v>
      </x:c>
      <x:c r="I173" s="96" t="str">
        <x:f>IF($B173="","",IF(COUNTIF(Account_Map!$A$6:$A$31,$B173)&gt;0,"Mapped","UNMAPPED"))</x:f>
        <x:v>Mapped</x:v>
      </x:c>
    </x:row>
    <x:row r="174">
      <x:c r="A174" s="189" t="n">
        <x:v>46326</x:v>
      </x:c>
      <x:c r="B174" s="54" t="str">
        <x:v>7100</x:v>
      </x:c>
      <x:c r="C174" s="54" t="str">
        <x:v>Interest Expense</x:v>
      </x:c>
      <x:c r="D174" s="54" t="str">
        <x:v>Corporate</x:v>
      </x:c>
      <x:c r="E174" s="54" t="str">
        <x:v>P&amp;L Activity</x:v>
      </x:c>
      <x:c r="F174" s="190" t="n">
        <x:v>0.0267</x:v>
      </x:c>
      <x:c r="G174" s="54" t="str">
        <x:v>Synthetic ERP Export</x:v>
      </x:c>
      <x:c r="H174" s="54" t="str">
        <x:v>FY2026_DEMO</x:v>
      </x:c>
      <x:c r="I174" s="96" t="str">
        <x:f>IF($B174="","",IF(COUNTIF(Account_Map!$A$6:$A$31,$B174)&gt;0,"Mapped","UNMAPPED"))</x:f>
        <x:v>Mapped</x:v>
      </x:c>
    </x:row>
    <x:row r="175">
      <x:c r="A175" s="189" t="n">
        <x:v>46326</x:v>
      </x:c>
      <x:c r="B175" s="54" t="str">
        <x:v>7200</x:v>
      </x:c>
      <x:c r="C175" s="54" t="str">
        <x:v>Income Taxes</x:v>
      </x:c>
      <x:c r="D175" s="54" t="str">
        <x:v>Corporate</x:v>
      </x:c>
      <x:c r="E175" s="54" t="str">
        <x:v>P&amp;L Activity</x:v>
      </x:c>
      <x:c r="F175" s="190" t="n">
        <x:v>0.037825</x:v>
      </x:c>
      <x:c r="G175" s="54" t="str">
        <x:v>Synthetic ERP Export</x:v>
      </x:c>
      <x:c r="H175" s="54" t="str">
        <x:v>FY2026_DEMO</x:v>
      </x:c>
      <x:c r="I175" s="96" t="str">
        <x:f>IF($B175="","",IF(COUNTIF(Account_Map!$A$6:$A$31,$B175)&gt;0,"Mapped","UNMAPPED"))</x:f>
        <x:v>Mapped</x:v>
      </x:c>
    </x:row>
    <x:row r="176">
      <x:c r="A176" s="189" t="n">
        <x:v>46356</x:v>
      </x:c>
      <x:c r="B176" s="54" t="str">
        <x:v>1000</x:v>
      </x:c>
      <x:c r="C176" s="54" t="str">
        <x:v>Cash &amp; Cash Equivalents</x:v>
      </x:c>
      <x:c r="D176" s="54" t="str">
        <x:v>Corporate</x:v>
      </x:c>
      <x:c r="E176" s="54" t="str">
        <x:v>BS Snapshot</x:v>
      </x:c>
      <x:c r="F176" s="190" t="n">
        <x:v>3.945833</x:v>
      </x:c>
      <x:c r="G176" s="54" t="str">
        <x:v>Synthetic ERP Export</x:v>
      </x:c>
      <x:c r="H176" s="54" t="str">
        <x:v>FY2026_DEMO</x:v>
      </x:c>
      <x:c r="I176" s="96" t="str">
        <x:f>IF($B176="","",IF(COUNTIF(Account_Map!$A$6:$A$31,$B176)&gt;0,"Mapped","UNMAPPED"))</x:f>
        <x:v>Mapped</x:v>
      </x:c>
    </x:row>
    <x:row r="177">
      <x:c r="A177" s="189" t="n">
        <x:v>46356</x:v>
      </x:c>
      <x:c r="B177" s="54" t="str">
        <x:v>1100</x:v>
      </x:c>
      <x:c r="C177" s="54" t="str">
        <x:v>Accounts Receivable</x:v>
      </x:c>
      <x:c r="D177" s="54" t="str">
        <x:v>Corporate</x:v>
      </x:c>
      <x:c r="E177" s="54" t="str">
        <x:v>BS Snapshot</x:v>
      </x:c>
      <x:c r="F177" s="190" t="n">
        <x:v>2.435274</x:v>
      </x:c>
      <x:c r="G177" s="54" t="str">
        <x:v>Synthetic ERP Export</x:v>
      </x:c>
      <x:c r="H177" s="54" t="str">
        <x:v>FY2026_DEMO</x:v>
      </x:c>
      <x:c r="I177" s="96" t="str">
        <x:f>IF($B177="","",IF(COUNTIF(Account_Map!$A$6:$A$31,$B177)&gt;0,"Mapped","UNMAPPED"))</x:f>
        <x:v>Mapped</x:v>
      </x:c>
    </x:row>
    <x:row r="178">
      <x:c r="A178" s="189" t="n">
        <x:v>46356</x:v>
      </x:c>
      <x:c r="B178" s="54" t="str">
        <x:v>1200</x:v>
      </x:c>
      <x:c r="C178" s="54" t="str">
        <x:v>Other Current Assets</x:v>
      </x:c>
      <x:c r="D178" s="54" t="str">
        <x:v>Corporate</x:v>
      </x:c>
      <x:c r="E178" s="54" t="str">
        <x:v>BS Snapshot</x:v>
      </x:c>
      <x:c r="F178" s="190" t="n">
        <x:v>0.59</x:v>
      </x:c>
      <x:c r="G178" s="54" t="str">
        <x:v>Synthetic ERP Export</x:v>
      </x:c>
      <x:c r="H178" s="54" t="str">
        <x:v>FY2026_DEMO</x:v>
      </x:c>
      <x:c r="I178" s="96" t="str">
        <x:f>IF($B178="","",IF(COUNTIF(Account_Map!$A$6:$A$31,$B178)&gt;0,"Mapped","UNMAPPED"))</x:f>
        <x:v>Mapped</x:v>
      </x:c>
    </x:row>
    <x:row r="179">
      <x:c r="A179" s="189" t="n">
        <x:v>46356</x:v>
      </x:c>
      <x:c r="B179" s="54" t="str">
        <x:v>1500</x:v>
      </x:c>
      <x:c r="C179" s="54" t="str">
        <x:v>PP&amp;E, Net</x:v>
      </x:c>
      <x:c r="D179" s="54" t="str">
        <x:v>Corporate</x:v>
      </x:c>
      <x:c r="E179" s="54" t="str">
        <x:v>BS Snapshot</x:v>
      </x:c>
      <x:c r="F179" s="190" t="n">
        <x:v>1.979167</x:v>
      </x:c>
      <x:c r="G179" s="54" t="str">
        <x:v>Synthetic ERP Export</x:v>
      </x:c>
      <x:c r="H179" s="54" t="str">
        <x:v>FY2026_DEMO</x:v>
      </x:c>
      <x:c r="I179" s="96" t="str">
        <x:f>IF($B179="","",IF(COUNTIF(Account_Map!$A$6:$A$31,$B179)&gt;0,"Mapped","UNMAPPED"))</x:f>
        <x:v>Mapped</x:v>
      </x:c>
    </x:row>
    <x:row r="180">
      <x:c r="A180" s="189" t="n">
        <x:v>46356</x:v>
      </x:c>
      <x:c r="B180" s="54" t="str">
        <x:v>2000</x:v>
      </x:c>
      <x:c r="C180" s="54" t="str">
        <x:v>Accounts Payable</x:v>
      </x:c>
      <x:c r="D180" s="54" t="str">
        <x:v>Corporate</x:v>
      </x:c>
      <x:c r="E180" s="54" t="str">
        <x:v>BS Snapshot</x:v>
      </x:c>
      <x:c r="F180" s="190" t="n">
        <x:v>-0.405046</x:v>
      </x:c>
      <x:c r="G180" s="54" t="str">
        <x:v>Synthetic ERP Export</x:v>
      </x:c>
      <x:c r="H180" s="54" t="str">
        <x:v>FY2026_DEMO</x:v>
      </x:c>
      <x:c r="I180" s="96" t="str">
        <x:f>IF($B180="","",IF(COUNTIF(Account_Map!$A$6:$A$31,$B180)&gt;0,"Mapped","UNMAPPED"))</x:f>
        <x:v>Mapped</x:v>
      </x:c>
    </x:row>
    <x:row r="181">
      <x:c r="A181" s="189" t="n">
        <x:v>46356</x:v>
      </x:c>
      <x:c r="B181" s="54" t="str">
        <x:v>2100</x:v>
      </x:c>
      <x:c r="C181" s="54" t="str">
        <x:v>Accrued Expenses</x:v>
      </x:c>
      <x:c r="D181" s="54" t="str">
        <x:v>Corporate</x:v>
      </x:c>
      <x:c r="E181" s="54" t="str">
        <x:v>BS Snapshot</x:v>
      </x:c>
      <x:c r="F181" s="190" t="n">
        <x:v>-0.9965</x:v>
      </x:c>
      <x:c r="G181" s="54" t="str">
        <x:v>Synthetic ERP Export</x:v>
      </x:c>
      <x:c r="H181" s="54" t="str">
        <x:v>FY2026_DEMO</x:v>
      </x:c>
      <x:c r="I181" s="96" t="str">
        <x:f>IF($B181="","",IF(COUNTIF(Account_Map!$A$6:$A$31,$B181)&gt;0,"Mapped","UNMAPPED"))</x:f>
        <x:v>Mapped</x:v>
      </x:c>
    </x:row>
    <x:row r="182">
      <x:c r="A182" s="189" t="n">
        <x:v>46356</x:v>
      </x:c>
      <x:c r="B182" s="54" t="str">
        <x:v>2200</x:v>
      </x:c>
      <x:c r="C182" s="54" t="str">
        <x:v>Deferred Revenue</x:v>
      </x:c>
      <x:c r="D182" s="54" t="str">
        <x:v>Corporate</x:v>
      </x:c>
      <x:c r="E182" s="54" t="str">
        <x:v>BS Snapshot</x:v>
      </x:c>
      <x:c r="F182" s="190" t="n">
        <x:v>-1.975</x:v>
      </x:c>
      <x:c r="G182" s="54" t="str">
        <x:v>Synthetic ERP Export</x:v>
      </x:c>
      <x:c r="H182" s="54" t="str">
        <x:v>FY2026_DEMO</x:v>
      </x:c>
      <x:c r="I182" s="96" t="str">
        <x:f>IF($B182="","",IF(COUNTIF(Account_Map!$A$6:$A$31,$B182)&gt;0,"Mapped","UNMAPPED"))</x:f>
        <x:v>Mapped</x:v>
      </x:c>
    </x:row>
    <x:row r="183">
      <x:c r="A183" s="189" t="n">
        <x:v>46356</x:v>
      </x:c>
      <x:c r="B183" s="54" t="str">
        <x:v>2500</x:v>
      </x:c>
      <x:c r="C183" s="54" t="str">
        <x:v>Debt</x:v>
      </x:c>
      <x:c r="D183" s="54" t="str">
        <x:v>Corporate</x:v>
      </x:c>
      <x:c r="E183" s="54" t="str">
        <x:v>BS Snapshot</x:v>
      </x:c>
      <x:c r="F183" s="190" t="n">
        <x:v>-2.533333</x:v>
      </x:c>
      <x:c r="G183" s="54" t="str">
        <x:v>Synthetic ERP Export</x:v>
      </x:c>
      <x:c r="H183" s="54" t="str">
        <x:v>FY2026_DEMO</x:v>
      </x:c>
      <x:c r="I183" s="96" t="str">
        <x:f>IF($B183="","",IF(COUNTIF(Account_Map!$A$6:$A$31,$B183)&gt;0,"Mapped","UNMAPPED"))</x:f>
        <x:v>Mapped</x:v>
      </x:c>
    </x:row>
    <x:row r="184">
      <x:c r="A184" s="189" t="n">
        <x:v>46356</x:v>
      </x:c>
      <x:c r="B184" s="54" t="str">
        <x:v>3000</x:v>
      </x:c>
      <x:c r="C184" s="54" t="str">
        <x:v>Equity</x:v>
      </x:c>
      <x:c r="D184" s="54" t="str">
        <x:v>Corporate</x:v>
      </x:c>
      <x:c r="E184" s="54" t="str">
        <x:v>BS Snapshot</x:v>
      </x:c>
      <x:c r="F184" s="190" t="n">
        <x:v>-3.051228</x:v>
      </x:c>
      <x:c r="G184" s="54" t="str">
        <x:v>Synthetic ERP Export</x:v>
      </x:c>
      <x:c r="H184" s="54" t="str">
        <x:v>FY2026_DEMO</x:v>
      </x:c>
      <x:c r="I184" s="96" t="str">
        <x:f>IF($B184="","",IF(COUNTIF(Account_Map!$A$6:$A$31,$B184)&gt;0,"Mapped","UNMAPPED"))</x:f>
        <x:v>Mapped</x:v>
      </x:c>
    </x:row>
    <x:row r="185">
      <x:c r="A185" s="189" t="n">
        <x:v>46356</x:v>
      </x:c>
      <x:c r="B185" s="54" t="str">
        <x:v>4000</x:v>
      </x:c>
      <x:c r="C185" s="54" t="str">
        <x:v>Subscription Revenue</x:v>
      </x:c>
      <x:c r="D185" s="54" t="str">
        <x:v>Sales</x:v>
      </x:c>
      <x:c r="E185" s="54" t="str">
        <x:v>P&amp;L Activity</x:v>
      </x:c>
      <x:c r="F185" s="190" t="n">
        <x:v>-1.92</x:v>
      </x:c>
      <x:c r="G185" s="54" t="str">
        <x:v>Synthetic ERP Export</x:v>
      </x:c>
      <x:c r="H185" s="54" t="str">
        <x:v>FY2026_DEMO</x:v>
      </x:c>
      <x:c r="I185" s="96" t="str">
        <x:f>IF($B185="","",IF(COUNTIF(Account_Map!$A$6:$A$31,$B185)&gt;0,"Mapped","UNMAPPED"))</x:f>
        <x:v>Mapped</x:v>
      </x:c>
    </x:row>
    <x:row r="186">
      <x:c r="A186" s="189" t="n">
        <x:v>46356</x:v>
      </x:c>
      <x:c r="B186" s="54" t="str">
        <x:v>5000</x:v>
      </x:c>
      <x:c r="C186" s="54" t="str">
        <x:v>Hosting &amp; Service Delivery</x:v>
      </x:c>
      <x:c r="D186" s="54" t="str">
        <x:v>Operations</x:v>
      </x:c>
      <x:c r="E186" s="54" t="str">
        <x:v>P&amp;L Activity</x:v>
      </x:c>
      <x:c r="F186" s="190" t="n">
        <x:v>0.48</x:v>
      </x:c>
      <x:c r="G186" s="54" t="str">
        <x:v>Synthetic ERP Export</x:v>
      </x:c>
      <x:c r="H186" s="54" t="str">
        <x:v>FY2026_DEMO</x:v>
      </x:c>
      <x:c r="I186" s="96" t="str">
        <x:f>IF($B186="","",IF(COUNTIF(Account_Map!$A$6:$A$31,$B186)&gt;0,"Mapped","UNMAPPED"))</x:f>
        <x:v>Mapped</x:v>
      </x:c>
    </x:row>
    <x:row r="187">
      <x:c r="A187" s="189" t="n">
        <x:v>46356</x:v>
      </x:c>
      <x:c r="B187" s="54" t="str">
        <x:v>6100</x:v>
      </x:c>
      <x:c r="C187" s="54" t="str">
        <x:v>Sales &amp; Marketing</x:v>
      </x:c>
      <x:c r="D187" s="54" t="str">
        <x:v>Sales &amp; Marketing</x:v>
      </x:c>
      <x:c r="E187" s="54" t="str">
        <x:v>P&amp;L Activity</x:v>
      </x:c>
      <x:c r="F187" s="190" t="n">
        <x:v>0.576</x:v>
      </x:c>
      <x:c r="G187" s="54" t="str">
        <x:v>Synthetic ERP Export</x:v>
      </x:c>
      <x:c r="H187" s="54" t="str">
        <x:v>FY2026_DEMO</x:v>
      </x:c>
      <x:c r="I187" s="96" t="str">
        <x:f>IF($B187="","",IF(COUNTIF(Account_Map!$A$6:$A$31,$B187)&gt;0,"Mapped","UNMAPPED"))</x:f>
        <x:v>Mapped</x:v>
      </x:c>
    </x:row>
    <x:row r="188">
      <x:c r="A188" s="189" t="n">
        <x:v>46356</x:v>
      </x:c>
      <x:c r="B188" s="54" t="str">
        <x:v>6200</x:v>
      </x:c>
      <x:c r="C188" s="54" t="str">
        <x:v>Research &amp; Development</x:v>
      </x:c>
      <x:c r="D188" s="54" t="str">
        <x:v>Product &amp; Engineering</x:v>
      </x:c>
      <x:c r="E188" s="54" t="str">
        <x:v>P&amp;L Activity</x:v>
      </x:c>
      <x:c r="F188" s="190" t="n">
        <x:v>0.3456</x:v>
      </x:c>
      <x:c r="G188" s="54" t="str">
        <x:v>Synthetic ERP Export</x:v>
      </x:c>
      <x:c r="H188" s="54" t="str">
        <x:v>FY2026_DEMO</x:v>
      </x:c>
      <x:c r="I188" s="96" t="str">
        <x:f>IF($B188="","",IF(COUNTIF(Account_Map!$A$6:$A$31,$B188)&gt;0,"Mapped","UNMAPPED"))</x:f>
        <x:v>Mapped</x:v>
      </x:c>
    </x:row>
    <x:row r="189">
      <x:c r="A189" s="189" t="n">
        <x:v>46356</x:v>
      </x:c>
      <x:c r="B189" s="54" t="str">
        <x:v>6300</x:v>
      </x:c>
      <x:c r="C189" s="54" t="str">
        <x:v>General &amp; Administrative</x:v>
      </x:c>
      <x:c r="D189" s="54" t="str">
        <x:v>Corporate</x:v>
      </x:c>
      <x:c r="E189" s="54" t="str">
        <x:v>P&amp;L Activity</x:v>
      </x:c>
      <x:c r="F189" s="190" t="n">
        <x:v>0.288</x:v>
      </x:c>
      <x:c r="G189" s="54" t="str">
        <x:v>Synthetic ERP Export</x:v>
      </x:c>
      <x:c r="H189" s="54" t="str">
        <x:v>FY2026_DEMO</x:v>
      </x:c>
      <x:c r="I189" s="96" t="str">
        <x:f>IF($B189="","",IF(COUNTIF(Account_Map!$A$6:$A$31,$B189)&gt;0,"Mapped","UNMAPPED"))</x:f>
        <x:v>Mapped</x:v>
      </x:c>
    </x:row>
    <x:row r="190">
      <x:c r="A190" s="189" t="n">
        <x:v>46356</x:v>
      </x:c>
      <x:c r="B190" s="54" t="str">
        <x:v>7000</x:v>
      </x:c>
      <x:c r="C190" s="54" t="str">
        <x:v>Depreciation &amp; Amortization</x:v>
      </x:c>
      <x:c r="D190" s="54" t="str">
        <x:v>Corporate</x:v>
      </x:c>
      <x:c r="E190" s="54" t="str">
        <x:v>P&amp;L Activity</x:v>
      </x:c>
      <x:c r="F190" s="190" t="n">
        <x:v>0.0384</x:v>
      </x:c>
      <x:c r="G190" s="54" t="str">
        <x:v>Synthetic ERP Export</x:v>
      </x:c>
      <x:c r="H190" s="54" t="str">
        <x:v>FY2026_DEMO</x:v>
      </x:c>
      <x:c r="I190" s="96" t="str">
        <x:f>IF($B190="","",IF(COUNTIF(Account_Map!$A$6:$A$31,$B190)&gt;0,"Mapped","UNMAPPED"))</x:f>
        <x:v>Mapped</x:v>
      </x:c>
    </x:row>
    <x:row r="191">
      <x:c r="A191" s="189" t="n">
        <x:v>46356</x:v>
      </x:c>
      <x:c r="B191" s="54" t="str">
        <x:v>7100</x:v>
      </x:c>
      <x:c r="C191" s="54" t="str">
        <x:v>Interest Expense</x:v>
      </x:c>
      <x:c r="D191" s="54" t="str">
        <x:v>Corporate</x:v>
      </x:c>
      <x:c r="E191" s="54" t="str">
        <x:v>P&amp;L Activity</x:v>
      </x:c>
      <x:c r="F191" s="190" t="n">
        <x:v>0.0288</x:v>
      </x:c>
      <x:c r="G191" s="54" t="str">
        <x:v>Synthetic ERP Export</x:v>
      </x:c>
      <x:c r="H191" s="54" t="str">
        <x:v>FY2026_DEMO</x:v>
      </x:c>
      <x:c r="I191" s="96" t="str">
        <x:f>IF($B191="","",IF(COUNTIF(Account_Map!$A$6:$A$31,$B191)&gt;0,"Mapped","UNMAPPED"))</x:f>
        <x:v>Mapped</x:v>
      </x:c>
    </x:row>
    <x:row r="192">
      <x:c r="A192" s="189" t="n">
        <x:v>46356</x:v>
      </x:c>
      <x:c r="B192" s="54" t="str">
        <x:v>7200</x:v>
      </x:c>
      <x:c r="C192" s="54" t="str">
        <x:v>Income Taxes</x:v>
      </x:c>
      <x:c r="D192" s="54" t="str">
        <x:v>Corporate</x:v>
      </x:c>
      <x:c r="E192" s="54" t="str">
        <x:v>P&amp;L Activity</x:v>
      </x:c>
      <x:c r="F192" s="190" t="n">
        <x:v>0.0408</x:v>
      </x:c>
      <x:c r="G192" s="54" t="str">
        <x:v>Synthetic ERP Export</x:v>
      </x:c>
      <x:c r="H192" s="54" t="str">
        <x:v>FY2026_DEMO</x:v>
      </x:c>
      <x:c r="I192" s="96" t="str">
        <x:f>IF($B192="","",IF(COUNTIF(Account_Map!$A$6:$A$31,$B192)&gt;0,"Mapped","UNMAPPED"))</x:f>
        <x:v>Mapped</x:v>
      </x:c>
    </x:row>
    <x:row r="193">
      <x:c r="A193" s="189" t="n">
        <x:v>46387</x:v>
      </x:c>
      <x:c r="B193" s="54" t="str">
        <x:v>1000</x:v>
      </x:c>
      <x:c r="C193" s="54" t="str">
        <x:v>Cash &amp; Cash Equivalents</x:v>
      </x:c>
      <x:c r="D193" s="54" t="str">
        <x:v>Corporate</x:v>
      </x:c>
      <x:c r="E193" s="54" t="str">
        <x:v>BS Snapshot</x:v>
      </x:c>
      <x:c r="F193" s="190" t="n">
        <x:v>4</x:v>
      </x:c>
      <x:c r="G193" s="54" t="str">
        <x:v>Synthetic ERP Export</x:v>
      </x:c>
      <x:c r="H193" s="54" t="str">
        <x:v>FY2026_DEMO</x:v>
      </x:c>
      <x:c r="I193" s="96" t="str">
        <x:f>IF($B193="","",IF(COUNTIF(Account_Map!$A$6:$A$31,$B193)&gt;0,"Mapped","UNMAPPED"))</x:f>
        <x:v>Mapped</x:v>
      </x:c>
    </x:row>
    <x:row r="194">
      <x:c r="A194" s="189" t="n">
        <x:v>46387</x:v>
      </x:c>
      <x:c r="B194" s="54" t="str">
        <x:v>1100</x:v>
      </x:c>
      <x:c r="C194" s="54" t="str">
        <x:v>Accounts Receivable</x:v>
      </x:c>
      <x:c r="D194" s="54" t="str">
        <x:v>Corporate</x:v>
      </x:c>
      <x:c r="E194" s="54" t="str">
        <x:v>BS Snapshot</x:v>
      </x:c>
      <x:c r="F194" s="190" t="n">
        <x:v>2.4657534246575343</x:v>
      </x:c>
      <x:c r="G194" s="54" t="str">
        <x:v>Synthetic ERP Export</x:v>
      </x:c>
      <x:c r="H194" s="54" t="str">
        <x:v>FY2026_DEMO</x:v>
      </x:c>
      <x:c r="I194" s="96" t="str">
        <x:f>IF($B194="","",IF(COUNTIF(Account_Map!$A$6:$A$31,$B194)&gt;0,"Mapped","UNMAPPED"))</x:f>
        <x:v>Mapped</x:v>
      </x:c>
    </x:row>
    <x:row r="195">
      <x:c r="A195" s="189" t="n">
        <x:v>46387</x:v>
      </x:c>
      <x:c r="B195" s="54" t="str">
        <x:v>1200</x:v>
      </x:c>
      <x:c r="C195" s="54" t="str">
        <x:v>Other Current Assets</x:v>
      </x:c>
      <x:c r="D195" s="54" t="str">
        <x:v>Corporate</x:v>
      </x:c>
      <x:c r="E195" s="54" t="str">
        <x:v>BS Snapshot</x:v>
      </x:c>
      <x:c r="F195" s="190" t="n">
        <x:v>0.6</x:v>
      </x:c>
      <x:c r="G195" s="54" t="str">
        <x:v>Synthetic ERP Export</x:v>
      </x:c>
      <x:c r="H195" s="54" t="str">
        <x:v>FY2026_DEMO</x:v>
      </x:c>
      <x:c r="I195" s="96" t="str">
        <x:f>IF($B195="","",IF(COUNTIF(Account_Map!$A$6:$A$31,$B195)&gt;0,"Mapped","UNMAPPED"))</x:f>
        <x:v>Mapped</x:v>
      </x:c>
    </x:row>
    <x:row r="196">
      <x:c r="A196" s="189" t="n">
        <x:v>46387</x:v>
      </x:c>
      <x:c r="B196" s="54" t="str">
        <x:v>1500</x:v>
      </x:c>
      <x:c r="C196" s="54" t="str">
        <x:v>PP&amp;E, Net</x:v>
      </x:c>
      <x:c r="D196" s="54" t="str">
        <x:v>Corporate</x:v>
      </x:c>
      <x:c r="E196" s="54" t="str">
        <x:v>BS Snapshot</x:v>
      </x:c>
      <x:c r="F196" s="190" t="n">
        <x:v>2</x:v>
      </x:c>
      <x:c r="G196" s="54" t="str">
        <x:v>Synthetic ERP Export</x:v>
      </x:c>
      <x:c r="H196" s="54" t="str">
        <x:v>FY2026_DEMO</x:v>
      </x:c>
      <x:c r="I196" s="96" t="str">
        <x:f>IF($B196="","",IF(COUNTIF(Account_Map!$A$6:$A$31,$B196)&gt;0,"Mapped","UNMAPPED"))</x:f>
        <x:v>Mapped</x:v>
      </x:c>
    </x:row>
    <x:row r="197">
      <x:c r="A197" s="189" t="n">
        <x:v>46387</x:v>
      </x:c>
      <x:c r="B197" s="54" t="str">
        <x:v>2000</x:v>
      </x:c>
      <x:c r="C197" s="54" t="str">
        <x:v>Accounts Payable</x:v>
      </x:c>
      <x:c r="D197" s="54" t="str">
        <x:v>Corporate</x:v>
      </x:c>
      <x:c r="E197" s="54" t="str">
        <x:v>BS Snapshot</x:v>
      </x:c>
      <x:c r="F197" s="190" t="n">
        <x:v>-0.410958904109589</x:v>
      </x:c>
      <x:c r="G197" s="54" t="str">
        <x:v>Synthetic ERP Export</x:v>
      </x:c>
      <x:c r="H197" s="54" t="str">
        <x:v>FY2026_DEMO</x:v>
      </x:c>
      <x:c r="I197" s="96" t="str">
        <x:f>IF($B197="","",IF(COUNTIF(Account_Map!$A$6:$A$31,$B197)&gt;0,"Mapped","UNMAPPED"))</x:f>
        <x:v>Mapped</x:v>
      </x:c>
    </x:row>
    <x:row r="198">
      <x:c r="A198" s="189" t="n">
        <x:v>46387</x:v>
      </x:c>
      <x:c r="B198" s="54" t="str">
        <x:v>2100</x:v>
      </x:c>
      <x:c r="C198" s="54" t="str">
        <x:v>Accrued Expenses</x:v>
      </x:c>
      <x:c r="D198" s="54" t="str">
        <x:v>Corporate</x:v>
      </x:c>
      <x:c r="E198" s="54" t="str">
        <x:v>BS Snapshot</x:v>
      </x:c>
      <x:c r="F198" s="190" t="n">
        <x:v>-1.008</x:v>
      </x:c>
      <x:c r="G198" s="54" t="str">
        <x:v>Synthetic ERP Export</x:v>
      </x:c>
      <x:c r="H198" s="54" t="str">
        <x:v>FY2026_DEMO</x:v>
      </x:c>
      <x:c r="I198" s="96" t="str">
        <x:f>IF($B198="","",IF(COUNTIF(Account_Map!$A$6:$A$31,$B198)&gt;0,"Mapped","UNMAPPED"))</x:f>
        <x:v>Mapped</x:v>
      </x:c>
    </x:row>
    <x:row r="199">
      <x:c r="A199" s="189" t="n">
        <x:v>46387</x:v>
      </x:c>
      <x:c r="B199" s="54" t="str">
        <x:v>2200</x:v>
      </x:c>
      <x:c r="C199" s="54" t="str">
        <x:v>Deferred Revenue</x:v>
      </x:c>
      <x:c r="D199" s="54" t="str">
        <x:v>Corporate</x:v>
      </x:c>
      <x:c r="E199" s="54" t="str">
        <x:v>BS Snapshot</x:v>
      </x:c>
      <x:c r="F199" s="190" t="n">
        <x:v>-2</x:v>
      </x:c>
      <x:c r="G199" s="54" t="str">
        <x:v>Synthetic ERP Export</x:v>
      </x:c>
      <x:c r="H199" s="54" t="str">
        <x:v>FY2026_DEMO</x:v>
      </x:c>
      <x:c r="I199" s="96" t="str">
        <x:f>IF($B199="","",IF(COUNTIF(Account_Map!$A$6:$A$31,$B199)&gt;0,"Mapped","UNMAPPED"))</x:f>
        <x:v>Mapped</x:v>
      </x:c>
    </x:row>
    <x:row r="200">
      <x:c r="A200" s="189" t="n">
        <x:v>46387</x:v>
      </x:c>
      <x:c r="B200" s="54" t="str">
        <x:v>2500</x:v>
      </x:c>
      <x:c r="C200" s="54" t="str">
        <x:v>Debt</x:v>
      </x:c>
      <x:c r="D200" s="54" t="str">
        <x:v>Corporate</x:v>
      </x:c>
      <x:c r="E200" s="54" t="str">
        <x:v>BS Snapshot</x:v>
      </x:c>
      <x:c r="F200" s="190" t="n">
        <x:v>-2.5</x:v>
      </x:c>
      <x:c r="G200" s="54" t="str">
        <x:v>Synthetic ERP Export</x:v>
      </x:c>
      <x:c r="H200" s="54" t="str">
        <x:v>FY2026_DEMO</x:v>
      </x:c>
      <x:c r="I200" s="96" t="str">
        <x:f>IF($B200="","",IF(COUNTIF(Account_Map!$A$6:$A$31,$B200)&gt;0,"Mapped","UNMAPPED"))</x:f>
        <x:v>Mapped</x:v>
      </x:c>
    </x:row>
    <x:row r="201">
      <x:c r="A201" s="189" t="n">
        <x:v>46387</x:v>
      </x:c>
      <x:c r="B201" s="54" t="str">
        <x:v>3000</x:v>
      </x:c>
      <x:c r="C201" s="54" t="str">
        <x:v>Equity</x:v>
      </x:c>
      <x:c r="D201" s="54" t="str">
        <x:v>Corporate</x:v>
      </x:c>
      <x:c r="E201" s="54" t="str">
        <x:v>BS Snapshot</x:v>
      </x:c>
      <x:c r="F201" s="190" t="n">
        <x:v>-3.146794520547944</x:v>
      </x:c>
      <x:c r="G201" s="54" t="str">
        <x:v>Synthetic ERP Export</x:v>
      </x:c>
      <x:c r="H201" s="54" t="str">
        <x:v>FY2026_DEMO</x:v>
      </x:c>
      <x:c r="I201" s="96" t="str">
        <x:f>IF($B201="","",IF(COUNTIF(Account_Map!$A$6:$A$31,$B201)&gt;0,"Mapped","UNMAPPED"))</x:f>
        <x:v>Mapped</x:v>
      </x:c>
    </x:row>
    <x:row r="202">
      <x:c r="A202" s="189" t="n">
        <x:v>46387</x:v>
      </x:c>
      <x:c r="B202" s="54" t="str">
        <x:v>4000</x:v>
      </x:c>
      <x:c r="C202" s="54" t="str">
        <x:v>Subscription Revenue</x:v>
      </x:c>
      <x:c r="D202" s="54" t="str">
        <x:v>Sales</x:v>
      </x:c>
      <x:c r="E202" s="54" t="str">
        <x:v>P&amp;L Activity</x:v>
      </x:c>
      <x:c r="F202" s="190" t="n">
        <x:v>-2.08</x:v>
      </x:c>
      <x:c r="G202" s="54" t="str">
        <x:v>Synthetic ERP Export</x:v>
      </x:c>
      <x:c r="H202" s="54" t="str">
        <x:v>FY2026_DEMO</x:v>
      </x:c>
      <x:c r="I202" s="96" t="str">
        <x:f>IF($B202="","",IF(COUNTIF(Account_Map!$A$6:$A$31,$B202)&gt;0,"Mapped","UNMAPPED"))</x:f>
        <x:v>Mapped</x:v>
      </x:c>
    </x:row>
    <x:row r="203">
      <x:c r="A203" s="189" t="n">
        <x:v>46387</x:v>
      </x:c>
      <x:c r="B203" s="54" t="str">
        <x:v>5000</x:v>
      </x:c>
      <x:c r="C203" s="54" t="str">
        <x:v>Hosting &amp; Service Delivery</x:v>
      </x:c>
      <x:c r="D203" s="54" t="str">
        <x:v>Operations</x:v>
      </x:c>
      <x:c r="E203" s="54" t="str">
        <x:v>P&amp;L Activity</x:v>
      </x:c>
      <x:c r="F203" s="190" t="n">
        <x:v>0.52</x:v>
      </x:c>
      <x:c r="G203" s="54" t="str">
        <x:v>Synthetic ERP Export</x:v>
      </x:c>
      <x:c r="H203" s="54" t="str">
        <x:v>FY2026_DEMO</x:v>
      </x:c>
      <x:c r="I203" s="96" t="str">
        <x:f>IF($B203="","",IF(COUNTIF(Account_Map!$A$6:$A$31,$B203)&gt;0,"Mapped","UNMAPPED"))</x:f>
        <x:v>Mapped</x:v>
      </x:c>
    </x:row>
    <x:row r="204">
      <x:c r="A204" s="189" t="n">
        <x:v>46387</x:v>
      </x:c>
      <x:c r="B204" s="54" t="str">
        <x:v>6100</x:v>
      </x:c>
      <x:c r="C204" s="54" t="str">
        <x:v>Sales &amp; Marketing</x:v>
      </x:c>
      <x:c r="D204" s="54" t="str">
        <x:v>Sales &amp; Marketing</x:v>
      </x:c>
      <x:c r="E204" s="54" t="str">
        <x:v>P&amp;L Activity</x:v>
      </x:c>
      <x:c r="F204" s="190" t="n">
        <x:v>0.624</x:v>
      </x:c>
      <x:c r="G204" s="54" t="str">
        <x:v>Synthetic ERP Export</x:v>
      </x:c>
      <x:c r="H204" s="54" t="str">
        <x:v>FY2026_DEMO</x:v>
      </x:c>
      <x:c r="I204" s="96" t="str">
        <x:f>IF($B204="","",IF(COUNTIF(Account_Map!$A$6:$A$31,$B204)&gt;0,"Mapped","UNMAPPED"))</x:f>
        <x:v>Mapped</x:v>
      </x:c>
    </x:row>
    <x:row r="205">
      <x:c r="A205" s="189" t="n">
        <x:v>46387</x:v>
      </x:c>
      <x:c r="B205" s="54" t="str">
        <x:v>6200</x:v>
      </x:c>
      <x:c r="C205" s="54" t="str">
        <x:v>Research &amp; Development</x:v>
      </x:c>
      <x:c r="D205" s="54" t="str">
        <x:v>Product &amp; Engineering</x:v>
      </x:c>
      <x:c r="E205" s="54" t="str">
        <x:v>P&amp;L Activity</x:v>
      </x:c>
      <x:c r="F205" s="190" t="n">
        <x:v>0.3744</x:v>
      </x:c>
      <x:c r="G205" s="54" t="str">
        <x:v>Synthetic ERP Export</x:v>
      </x:c>
      <x:c r="H205" s="54" t="str">
        <x:v>FY2026_DEMO</x:v>
      </x:c>
      <x:c r="I205" s="96" t="str">
        <x:f>IF($B205="","",IF(COUNTIF(Account_Map!$A$6:$A$31,$B205)&gt;0,"Mapped","UNMAPPED"))</x:f>
        <x:v>Mapped</x:v>
      </x:c>
    </x:row>
    <x:row r="206">
      <x:c r="A206" s="189" t="n">
        <x:v>46387</x:v>
      </x:c>
      <x:c r="B206" s="54" t="str">
        <x:v>6300</x:v>
      </x:c>
      <x:c r="C206" s="54" t="str">
        <x:v>General &amp; Administrative</x:v>
      </x:c>
      <x:c r="D206" s="54" t="str">
        <x:v>Corporate</x:v>
      </x:c>
      <x:c r="E206" s="54" t="str">
        <x:v>P&amp;L Activity</x:v>
      </x:c>
      <x:c r="F206" s="190" t="n">
        <x:v>0.312</x:v>
      </x:c>
      <x:c r="G206" s="54" t="str">
        <x:v>Synthetic ERP Export</x:v>
      </x:c>
      <x:c r="H206" s="54" t="str">
        <x:v>FY2026_DEMO</x:v>
      </x:c>
      <x:c r="I206" s="96" t="str">
        <x:f>IF($B206="","",IF(COUNTIF(Account_Map!$A$6:$A$31,$B206)&gt;0,"Mapped","UNMAPPED"))</x:f>
        <x:v>Mapped</x:v>
      </x:c>
    </x:row>
    <x:row r="207">
      <x:c r="A207" s="189" t="n">
        <x:v>46387</x:v>
      </x:c>
      <x:c r="B207" s="54" t="str">
        <x:v>7000</x:v>
      </x:c>
      <x:c r="C207" s="54" t="str">
        <x:v>Depreciation &amp; Amortization</x:v>
      </x:c>
      <x:c r="D207" s="54" t="str">
        <x:v>Corporate</x:v>
      </x:c>
      <x:c r="E207" s="54" t="str">
        <x:v>P&amp;L Activity</x:v>
      </x:c>
      <x:c r="F207" s="190" t="n">
        <x:v>0.0416</x:v>
      </x:c>
      <x:c r="G207" s="54" t="str">
        <x:v>Synthetic ERP Export</x:v>
      </x:c>
      <x:c r="H207" s="54" t="str">
        <x:v>FY2026_DEMO</x:v>
      </x:c>
      <x:c r="I207" s="96" t="str">
        <x:f>IF($B207="","",IF(COUNTIF(Account_Map!$A$6:$A$31,$B207)&gt;0,"Mapped","UNMAPPED"))</x:f>
        <x:v>Mapped</x:v>
      </x:c>
    </x:row>
    <x:row r="208">
      <x:c r="A208" s="189" t="n">
        <x:v>46387</x:v>
      </x:c>
      <x:c r="B208" s="54" t="str">
        <x:v>7100</x:v>
      </x:c>
      <x:c r="C208" s="54" t="str">
        <x:v>Interest Expense</x:v>
      </x:c>
      <x:c r="D208" s="54" t="str">
        <x:v>Corporate</x:v>
      </x:c>
      <x:c r="E208" s="54" t="str">
        <x:v>P&amp;L Activity</x:v>
      </x:c>
      <x:c r="F208" s="190" t="n">
        <x:v>0.0312</x:v>
      </x:c>
      <x:c r="G208" s="54" t="str">
        <x:v>Synthetic ERP Export</x:v>
      </x:c>
      <x:c r="H208" s="54" t="str">
        <x:v>FY2026_DEMO</x:v>
      </x:c>
      <x:c r="I208" s="96" t="str">
        <x:f>IF($B208="","",IF(COUNTIF(Account_Map!$A$6:$A$31,$B208)&gt;0,"Mapped","UNMAPPED"))</x:f>
        <x:v>Mapped</x:v>
      </x:c>
    </x:row>
    <x:row r="209">
      <x:c r="A209" s="189" t="n">
        <x:v>46387</x:v>
      </x:c>
      <x:c r="B209" s="54" t="str">
        <x:v>7200</x:v>
      </x:c>
      <x:c r="C209" s="54" t="str">
        <x:v>Income Taxes</x:v>
      </x:c>
      <x:c r="D209" s="54" t="str">
        <x:v>Corporate</x:v>
      </x:c>
      <x:c r="E209" s="54" t="str">
        <x:v>P&amp;L Activity</x:v>
      </x:c>
      <x:c r="F209" s="190" t="n">
        <x:v>0.0442</x:v>
      </x:c>
      <x:c r="G209" s="54" t="str">
        <x:v>Synthetic ERP Export</x:v>
      </x:c>
      <x:c r="H209" s="54" t="str">
        <x:v>FY2026_DEMO</x:v>
      </x:c>
      <x:c r="I209" s="96" t="str">
        <x:f>IF($B209="","",IF(COUNTIF(Account_Map!$A$6:$A$31,$B209)&gt;0,"Mapped","UNMAPPED"))</x:f>
        <x:v>Mapped</x:v>
      </x:c>
    </x:row>
    <x:row r="210">
      <x:c r="A210" s="189" t="n">
        <x:v>46387</x:v>
      </x:c>
      <x:c r="B210" s="54" t="str">
        <x:v>9001</x:v>
      </x:c>
      <x:c r="C210" s="54" t="str">
        <x:v>Change in Accounts Receivable</x:v>
      </x:c>
      <x:c r="D210" s="54" t="str">
        <x:v>Corporate</x:v>
      </x:c>
      <x:c r="E210" s="54" t="str">
        <x:v>CF Activity</x:v>
      </x:c>
      <x:c r="F210" s="190" t="n">
        <x:v>-0.3</x:v>
      </x:c>
      <x:c r="G210" s="54" t="str">
        <x:v>Synthetic ERP Export</x:v>
      </x:c>
      <x:c r="H210" s="54" t="str">
        <x:v>FY2026_DEMO</x:v>
      </x:c>
      <x:c r="I210" s="96" t="str">
        <x:f>IF($B210="","",IF(COUNTIF(Account_Map!$A$6:$A$31,$B210)&gt;0,"Mapped","UNMAPPED"))</x:f>
        <x:v>Mapped</x:v>
      </x:c>
    </x:row>
    <x:row r="211">
      <x:c r="A211" s="189" t="n">
        <x:v>46387</x:v>
      </x:c>
      <x:c r="B211" s="54" t="str">
        <x:v>9002</x:v>
      </x:c>
      <x:c r="C211" s="54" t="str">
        <x:v>Change in Other Current Assets</x:v>
      </x:c>
      <x:c r="D211" s="54" t="str">
        <x:v>Corporate</x:v>
      </x:c>
      <x:c r="E211" s="54" t="str">
        <x:v>CF Activity</x:v>
      </x:c>
      <x:c r="F211" s="190" t="n">
        <x:v>-0.1</x:v>
      </x:c>
      <x:c r="G211" s="54" t="str">
        <x:v>Synthetic ERP Export</x:v>
      </x:c>
      <x:c r="H211" s="54" t="str">
        <x:v>FY2026_DEMO</x:v>
      </x:c>
      <x:c r="I211" s="96" t="str">
        <x:f>IF($B211="","",IF(COUNTIF(Account_Map!$A$6:$A$31,$B211)&gt;0,"Mapped","UNMAPPED"))</x:f>
        <x:v>Mapped</x:v>
      </x:c>
    </x:row>
    <x:row r="212">
      <x:c r="A212" s="189" t="n">
        <x:v>46387</x:v>
      </x:c>
      <x:c r="B212" s="54" t="str">
        <x:v>9003</x:v>
      </x:c>
      <x:c r="C212" s="54" t="str">
        <x:v>Change in Accounts Payable</x:v>
      </x:c>
      <x:c r="D212" s="54" t="str">
        <x:v>Corporate</x:v>
      </x:c>
      <x:c r="E212" s="54" t="str">
        <x:v>CF Activity</x:v>
      </x:c>
      <x:c r="F212" s="190" t="n">
        <x:v>0.05</x:v>
      </x:c>
      <x:c r="G212" s="54" t="str">
        <x:v>Synthetic ERP Export</x:v>
      </x:c>
      <x:c r="H212" s="54" t="str">
        <x:v>FY2026_DEMO</x:v>
      </x:c>
      <x:c r="I212" s="96" t="str">
        <x:f>IF($B212="","",IF(COUNTIF(Account_Map!$A$6:$A$31,$B212)&gt;0,"Mapped","UNMAPPED"))</x:f>
        <x:v>Mapped</x:v>
      </x:c>
    </x:row>
    <x:row r="213">
      <x:c r="A213" s="189" t="n">
        <x:v>46387</x:v>
      </x:c>
      <x:c r="B213" s="54" t="str">
        <x:v>9004</x:v>
      </x:c>
      <x:c r="C213" s="54" t="str">
        <x:v>Change in Accrued Expenses</x:v>
      </x:c>
      <x:c r="D213" s="54" t="str">
        <x:v>Corporate</x:v>
      </x:c>
      <x:c r="E213" s="54" t="str">
        <x:v>CF Activity</x:v>
      </x:c>
      <x:c r="F213" s="190" t="n">
        <x:v>0.1</x:v>
      </x:c>
      <x:c r="G213" s="54" t="str">
        <x:v>Synthetic ERP Export</x:v>
      </x:c>
      <x:c r="H213" s="54" t="str">
        <x:v>FY2026_DEMO</x:v>
      </x:c>
      <x:c r="I213" s="96" t="str">
        <x:f>IF($B213="","",IF(COUNTIF(Account_Map!$A$6:$A$31,$B213)&gt;0,"Mapped","UNMAPPED"))</x:f>
        <x:v>Mapped</x:v>
      </x:c>
    </x:row>
    <x:row r="214">
      <x:c r="A214" s="189" t="n">
        <x:v>46387</x:v>
      </x:c>
      <x:c r="B214" s="54" t="str">
        <x:v>9005</x:v>
      </x:c>
      <x:c r="C214" s="54" t="str">
        <x:v>Change in Deferred Revenue</x:v>
      </x:c>
      <x:c r="D214" s="54" t="str">
        <x:v>Corporate</x:v>
      </x:c>
      <x:c r="E214" s="54" t="str">
        <x:v>CF Activity</x:v>
      </x:c>
      <x:c r="F214" s="190" t="n">
        <x:v>0.2</x:v>
      </x:c>
      <x:c r="G214" s="54" t="str">
        <x:v>Synthetic ERP Export</x:v>
      </x:c>
      <x:c r="H214" s="54" t="str">
        <x:v>FY2026_DEMO</x:v>
      </x:c>
      <x:c r="I214" s="96" t="str">
        <x:f>IF($B214="","",IF(COUNTIF(Account_Map!$A$6:$A$31,$B214)&gt;0,"Mapped","UNMAPPED"))</x:f>
        <x:v>Mapped</x:v>
      </x:c>
    </x:row>
    <x:row r="215">
      <x:c r="A215" s="189" t="n">
        <x:v>46387</x:v>
      </x:c>
      <x:c r="B215" s="54" t="str">
        <x:v>9006</x:v>
      </x:c>
      <x:c r="C215" s="54" t="str">
        <x:v>Capital Expenditures</x:v>
      </x:c>
      <x:c r="D215" s="54" t="str">
        <x:v>Corporate</x:v>
      </x:c>
      <x:c r="E215" s="54" t="str">
        <x:v>CF Activity</x:v>
      </x:c>
      <x:c r="F215" s="190" t="n">
        <x:v>-0.5</x:v>
      </x:c>
      <x:c r="G215" s="54" t="str">
        <x:v>Synthetic ERP Export</x:v>
      </x:c>
      <x:c r="H215" s="54" t="str">
        <x:v>FY2026_DEMO</x:v>
      </x:c>
      <x:c r="I215" s="96" t="str">
        <x:f>IF($B215="","",IF(COUNTIF(Account_Map!$A$6:$A$31,$B215)&gt;0,"Mapped","UNMAPPED"))</x:f>
        <x:v>Mapped</x:v>
      </x:c>
    </x:row>
    <x:row r="216">
      <x:c r="A216" s="189" t="n">
        <x:v>46387</x:v>
      </x:c>
      <x:c r="B216" s="54" t="str">
        <x:v>9007</x:v>
      </x:c>
      <x:c r="C216" s="54" t="str">
        <x:v>Debt Repayment</x:v>
      </x:c>
      <x:c r="D216" s="54" t="str">
        <x:v>Corporate</x:v>
      </x:c>
      <x:c r="E216" s="54" t="str">
        <x:v>CF Activity</x:v>
      </x:c>
      <x:c r="F216" s="190" t="n">
        <x:v>-0.4</x:v>
      </x:c>
      <x:c r="G216" s="54" t="str">
        <x:v>Synthetic ERP Export</x:v>
      </x:c>
      <x:c r="H216" s="54" t="str">
        <x:v>FY2026_DEMO</x:v>
      </x:c>
      <x:c r="I216" s="96" t="str">
        <x:f>IF($B216="","",IF(COUNTIF(Account_Map!$A$6:$A$31,$B216)&gt;0,"Mapped","UNMAPPED"))</x:f>
        <x:v>Mapped</x:v>
      </x:c>
    </x:row>
    <x:row r="217">
      <x:c r="A217" s="189" t="n">
        <x:v>46387</x:v>
      </x:c>
      <x:c r="B217" s="54" t="str">
        <x:v>9008</x:v>
      </x:c>
      <x:c r="C217" s="54" t="str">
        <x:v>Dividends</x:v>
      </x:c>
      <x:c r="D217" s="54" t="str">
        <x:v>Corporate</x:v>
      </x:c>
      <x:c r="E217" s="54" t="str">
        <x:v>CF Activity</x:v>
      </x:c>
      <x:c r="F217" s="190" t="n">
        <x:v>0</x:v>
      </x:c>
      <x:c r="G217" s="54" t="str">
        <x:v>Synthetic ERP Export</x:v>
      </x:c>
      <x:c r="H217" s="54" t="str">
        <x:v>FY2026_DEMO</x:v>
      </x:c>
      <x:c r="I217" s="96" t="str">
        <x:f>IF($B217="","",IF(COUNTIF(Account_Map!$A$6:$A$31,$B217)&gt;0,"Mapped","UNMAPPED"))</x:f>
        <x:v>Mapped</x:v>
      </x:c>
    </x:row>
    <x:row r="218">
      <x:c r="A218" s="189" t="n">
        <x:v>46387</x:v>
      </x:c>
      <x:c r="B218" s="54" t="str">
        <x:v>9009</x:v>
      </x:c>
      <x:c r="C218" s="54" t="str">
        <x:v>Beginning Cash</x:v>
      </x:c>
      <x:c r="D218" s="54" t="str">
        <x:v>Corporate</x:v>
      </x:c>
      <x:c r="E218" s="54" t="str">
        <x:v>CF Value</x:v>
      </x:c>
      <x:c r="F218" s="190" t="n">
        <x:v>3.275</x:v>
      </x:c>
      <x:c r="G218" s="54" t="str">
        <x:v>Synthetic ERP Export</x:v>
      </x:c>
      <x:c r="H218" s="54" t="str">
        <x:v>FY2026_DEMO</x:v>
      </x:c>
      <x:c r="I218" s="96" t="str">
        <x:f>IF($B218="","",IF(COUNTIF(Account_Map!$A$6:$A$31,$B218)&gt;0,"Mapped","UNMAPPED"))</x:f>
        <x:v>Mapped</x:v>
      </x:c>
    </x:row>
    <x:row r="219">
      <x:c r="A219" s="194"/>
      <x:c r="B219" s="195"/>
      <x:c r="C219" s="195"/>
      <x:c r="D219" s="195"/>
      <x:c r="E219" s="195"/>
      <x:c r="F219" s="196"/>
      <x:c r="G219" s="195"/>
      <x:c r="H219" s="195"/>
      <x:c r="I219" s="96" t="str">
        <x:f>IF($B219="","",IF(COUNTIF(Account_Map!$A$6:$A$31,$B219)&gt;0,"Mapped","UNMAPPED"))</x:f>
      </x:c>
    </x:row>
    <x:row r="220">
      <x:c r="A220" s="194"/>
      <x:c r="B220" s="195"/>
      <x:c r="C220" s="195"/>
      <x:c r="D220" s="195"/>
      <x:c r="E220" s="195"/>
      <x:c r="F220" s="196"/>
      <x:c r="G220" s="195"/>
      <x:c r="H220" s="195"/>
      <x:c r="I220" s="96" t="str">
        <x:f>IF($B220="","",IF(COUNTIF(Account_Map!$A$6:$A$31,$B220)&gt;0,"Mapped","UNMAPPED"))</x:f>
      </x:c>
    </x:row>
    <x:row r="221">
      <x:c r="A221" s="194"/>
      <x:c r="B221" s="195"/>
      <x:c r="C221" s="195"/>
      <x:c r="D221" s="195"/>
      <x:c r="E221" s="195"/>
      <x:c r="F221" s="196"/>
      <x:c r="G221" s="195"/>
      <x:c r="H221" s="195"/>
      <x:c r="I221" s="96" t="str">
        <x:f>IF($B221="","",IF(COUNTIF(Account_Map!$A$6:$A$31,$B221)&gt;0,"Mapped","UNMAPPED"))</x:f>
      </x:c>
    </x:row>
    <x:row r="222">
      <x:c r="A222" s="194"/>
      <x:c r="B222" s="195"/>
      <x:c r="C222" s="195"/>
      <x:c r="D222" s="195"/>
      <x:c r="E222" s="195"/>
      <x:c r="F222" s="196"/>
      <x:c r="G222" s="195"/>
      <x:c r="H222" s="195"/>
      <x:c r="I222" s="96" t="str">
        <x:f>IF($B222="","",IF(COUNTIF(Account_Map!$A$6:$A$31,$B222)&gt;0,"Mapped","UNMAPPED"))</x:f>
      </x:c>
    </x:row>
    <x:row r="223">
      <x:c r="A223" s="194"/>
      <x:c r="B223" s="195"/>
      <x:c r="C223" s="195"/>
      <x:c r="D223" s="195"/>
      <x:c r="E223" s="195"/>
      <x:c r="F223" s="196"/>
      <x:c r="G223" s="195"/>
      <x:c r="H223" s="195"/>
      <x:c r="I223" s="96" t="str">
        <x:f>IF($B223="","",IF(COUNTIF(Account_Map!$A$6:$A$31,$B223)&gt;0,"Mapped","UNMAPPED"))</x:f>
      </x:c>
    </x:row>
    <x:row r="224">
      <x:c r="A224" s="194"/>
      <x:c r="B224" s="195"/>
      <x:c r="C224" s="195"/>
      <x:c r="D224" s="195"/>
      <x:c r="E224" s="195"/>
      <x:c r="F224" s="196"/>
      <x:c r="G224" s="195"/>
      <x:c r="H224" s="195"/>
      <x:c r="I224" s="96" t="str">
        <x:f>IF($B224="","",IF(COUNTIF(Account_Map!$A$6:$A$31,$B224)&gt;0,"Mapped","UNMAPPED"))</x:f>
      </x:c>
    </x:row>
    <x:row r="225">
      <x:c r="A225" s="194"/>
      <x:c r="B225" s="195"/>
      <x:c r="C225" s="195"/>
      <x:c r="D225" s="195"/>
      <x:c r="E225" s="195"/>
      <x:c r="F225" s="196"/>
      <x:c r="G225" s="195"/>
      <x:c r="H225" s="195"/>
      <x:c r="I225" s="96" t="str">
        <x:f>IF($B225="","",IF(COUNTIF(Account_Map!$A$6:$A$31,$B225)&gt;0,"Mapped","UNMAPPED"))</x:f>
      </x:c>
    </x:row>
    <x:row r="226">
      <x:c r="A226" s="194"/>
      <x:c r="B226" s="195"/>
      <x:c r="C226" s="195"/>
      <x:c r="D226" s="195"/>
      <x:c r="E226" s="195"/>
      <x:c r="F226" s="196"/>
      <x:c r="G226" s="195"/>
      <x:c r="H226" s="195"/>
      <x:c r="I226" s="96" t="str">
        <x:f>IF($B226="","",IF(COUNTIF(Account_Map!$A$6:$A$31,$B226)&gt;0,"Mapped","UNMAPPED"))</x:f>
      </x:c>
    </x:row>
    <x:row r="227">
      <x:c r="A227" s="194"/>
      <x:c r="B227" s="195"/>
      <x:c r="C227" s="195"/>
      <x:c r="D227" s="195"/>
      <x:c r="E227" s="195"/>
      <x:c r="F227" s="196"/>
      <x:c r="G227" s="195"/>
      <x:c r="H227" s="195"/>
      <x:c r="I227" s="96" t="str">
        <x:f>IF($B227="","",IF(COUNTIF(Account_Map!$A$6:$A$31,$B227)&gt;0,"Mapped","UNMAPPED"))</x:f>
      </x:c>
    </x:row>
    <x:row r="228">
      <x:c r="A228" s="194"/>
      <x:c r="B228" s="195"/>
      <x:c r="C228" s="195"/>
      <x:c r="D228" s="195"/>
      <x:c r="E228" s="195"/>
      <x:c r="F228" s="196"/>
      <x:c r="G228" s="195"/>
      <x:c r="H228" s="195"/>
      <x:c r="I228" s="96" t="str">
        <x:f>IF($B228="","",IF(COUNTIF(Account_Map!$A$6:$A$31,$B228)&gt;0,"Mapped","UNMAPPED"))</x:f>
      </x:c>
    </x:row>
    <x:row r="229">
      <x:c r="A229" s="194"/>
      <x:c r="B229" s="195"/>
      <x:c r="C229" s="195"/>
      <x:c r="D229" s="195"/>
      <x:c r="E229" s="195"/>
      <x:c r="F229" s="196"/>
      <x:c r="G229" s="195"/>
      <x:c r="H229" s="195"/>
      <x:c r="I229" s="96" t="str">
        <x:f>IF($B229="","",IF(COUNTIF(Account_Map!$A$6:$A$31,$B229)&gt;0,"Mapped","UNMAPPED"))</x:f>
      </x:c>
    </x:row>
    <x:row r="230">
      <x:c r="A230" s="194"/>
      <x:c r="B230" s="195"/>
      <x:c r="C230" s="195"/>
      <x:c r="D230" s="195"/>
      <x:c r="E230" s="195"/>
      <x:c r="F230" s="196"/>
      <x:c r="G230" s="195"/>
      <x:c r="H230" s="195"/>
      <x:c r="I230" s="96" t="str">
        <x:f>IF($B230="","",IF(COUNTIF(Account_Map!$A$6:$A$31,$B230)&gt;0,"Mapped","UNMAPPED"))</x:f>
      </x:c>
    </x:row>
    <x:row r="231">
      <x:c r="A231" s="194"/>
      <x:c r="B231" s="195"/>
      <x:c r="C231" s="195"/>
      <x:c r="D231" s="195"/>
      <x:c r="E231" s="195"/>
      <x:c r="F231" s="196"/>
      <x:c r="G231" s="195"/>
      <x:c r="H231" s="195"/>
      <x:c r="I231" s="96" t="str">
        <x:f>IF($B231="","",IF(COUNTIF(Account_Map!$A$6:$A$31,$B231)&gt;0,"Mapped","UNMAPPED"))</x:f>
      </x:c>
    </x:row>
    <x:row r="232">
      <x:c r="A232" s="194"/>
      <x:c r="B232" s="195"/>
      <x:c r="C232" s="195"/>
      <x:c r="D232" s="195"/>
      <x:c r="E232" s="195"/>
      <x:c r="F232" s="196"/>
      <x:c r="G232" s="195"/>
      <x:c r="H232" s="195"/>
      <x:c r="I232" s="96" t="str">
        <x:f>IF($B232="","",IF(COUNTIF(Account_Map!$A$6:$A$31,$B232)&gt;0,"Mapped","UNMAPPED"))</x:f>
      </x:c>
    </x:row>
    <x:row r="233">
      <x:c r="A233" s="194"/>
      <x:c r="B233" s="195"/>
      <x:c r="C233" s="195"/>
      <x:c r="D233" s="195"/>
      <x:c r="E233" s="195"/>
      <x:c r="F233" s="196"/>
      <x:c r="G233" s="195"/>
      <x:c r="H233" s="195"/>
      <x:c r="I233" s="96" t="str">
        <x:f>IF($B233="","",IF(COUNTIF(Account_Map!$A$6:$A$31,$B233)&gt;0,"Mapped","UNMAPPED"))</x:f>
      </x:c>
    </x:row>
    <x:row r="234">
      <x:c r="A234" s="194"/>
      <x:c r="B234" s="195"/>
      <x:c r="C234" s="195"/>
      <x:c r="D234" s="195"/>
      <x:c r="E234" s="195"/>
      <x:c r="F234" s="196"/>
      <x:c r="G234" s="195"/>
      <x:c r="H234" s="195"/>
      <x:c r="I234" s="96" t="str">
        <x:f>IF($B234="","",IF(COUNTIF(Account_Map!$A$6:$A$31,$B234)&gt;0,"Mapped","UNMAPPED"))</x:f>
      </x:c>
    </x:row>
    <x:row r="235">
      <x:c r="A235" s="194"/>
      <x:c r="B235" s="195"/>
      <x:c r="C235" s="195"/>
      <x:c r="D235" s="195"/>
      <x:c r="E235" s="195"/>
      <x:c r="F235" s="196"/>
      <x:c r="G235" s="195"/>
      <x:c r="H235" s="195"/>
      <x:c r="I235" s="96" t="str">
        <x:f>IF($B235="","",IF(COUNTIF(Account_Map!$A$6:$A$31,$B235)&gt;0,"Mapped","UNMAPPED"))</x:f>
      </x:c>
    </x:row>
    <x:row r="236">
      <x:c r="A236" s="194"/>
      <x:c r="B236" s="195"/>
      <x:c r="C236" s="195"/>
      <x:c r="D236" s="195"/>
      <x:c r="E236" s="195"/>
      <x:c r="F236" s="196"/>
      <x:c r="G236" s="195"/>
      <x:c r="H236" s="195"/>
      <x:c r="I236" s="96" t="str">
        <x:f>IF($B236="","",IF(COUNTIF(Account_Map!$A$6:$A$31,$B236)&gt;0,"Mapped","UNMAPPED"))</x:f>
      </x:c>
    </x:row>
    <x:row r="237">
      <x:c r="A237" s="194"/>
      <x:c r="B237" s="195"/>
      <x:c r="C237" s="195"/>
      <x:c r="D237" s="195"/>
      <x:c r="E237" s="195"/>
      <x:c r="F237" s="196"/>
      <x:c r="G237" s="195"/>
      <x:c r="H237" s="195"/>
      <x:c r="I237" s="96" t="str">
        <x:f>IF($B237="","",IF(COUNTIF(Account_Map!$A$6:$A$31,$B237)&gt;0,"Mapped","UNMAPPED"))</x:f>
      </x:c>
    </x:row>
    <x:row r="238">
      <x:c r="A238" s="194"/>
      <x:c r="B238" s="195"/>
      <x:c r="C238" s="195"/>
      <x:c r="D238" s="195"/>
      <x:c r="E238" s="195"/>
      <x:c r="F238" s="196"/>
      <x:c r="G238" s="195"/>
      <x:c r="H238" s="195"/>
      <x:c r="I238" s="96" t="str">
        <x:f>IF($B238="","",IF(COUNTIF(Account_Map!$A$6:$A$31,$B238)&gt;0,"Mapped","UNMAPPED"))</x:f>
      </x:c>
    </x:row>
    <x:row r="239">
      <x:c r="A239" s="194"/>
      <x:c r="B239" s="195"/>
      <x:c r="C239" s="195"/>
      <x:c r="D239" s="195"/>
      <x:c r="E239" s="195"/>
      <x:c r="F239" s="196"/>
      <x:c r="G239" s="195"/>
      <x:c r="H239" s="195"/>
      <x:c r="I239" s="96" t="str">
        <x:f>IF($B239="","",IF(COUNTIF(Account_Map!$A$6:$A$31,$B239)&gt;0,"Mapped","UNMAPPED"))</x:f>
      </x:c>
    </x:row>
    <x:row r="240">
      <x:c r="A240" s="194"/>
      <x:c r="B240" s="195"/>
      <x:c r="C240" s="195"/>
      <x:c r="D240" s="195"/>
      <x:c r="E240" s="195"/>
      <x:c r="F240" s="196"/>
      <x:c r="G240" s="195"/>
      <x:c r="H240" s="195"/>
      <x:c r="I240" s="96" t="str">
        <x:f>IF($B240="","",IF(COUNTIF(Account_Map!$A$6:$A$31,$B240)&gt;0,"Mapped","UNMAPPED"))</x:f>
      </x:c>
    </x:row>
    <x:row r="241">
      <x:c r="A241" s="194"/>
      <x:c r="B241" s="195"/>
      <x:c r="C241" s="195"/>
      <x:c r="D241" s="195"/>
      <x:c r="E241" s="195"/>
      <x:c r="F241" s="196"/>
      <x:c r="G241" s="195"/>
      <x:c r="H241" s="195"/>
      <x:c r="I241" s="96" t="str">
        <x:f>IF($B241="","",IF(COUNTIF(Account_Map!$A$6:$A$31,$B241)&gt;0,"Mapped","UNMAPPED"))</x:f>
      </x:c>
    </x:row>
    <x:row r="242">
      <x:c r="A242" s="194"/>
      <x:c r="B242" s="195"/>
      <x:c r="C242" s="195"/>
      <x:c r="D242" s="195"/>
      <x:c r="E242" s="195"/>
      <x:c r="F242" s="196"/>
      <x:c r="G242" s="195"/>
      <x:c r="H242" s="195"/>
      <x:c r="I242" s="96" t="str">
        <x:f>IF($B242="","",IF(COUNTIF(Account_Map!$A$6:$A$31,$B242)&gt;0,"Mapped","UNMAPPED"))</x:f>
      </x:c>
    </x:row>
    <x:row r="243">
      <x:c r="A243" s="194"/>
      <x:c r="B243" s="195"/>
      <x:c r="C243" s="195"/>
      <x:c r="D243" s="195"/>
      <x:c r="E243" s="195"/>
      <x:c r="F243" s="196"/>
      <x:c r="G243" s="195"/>
      <x:c r="H243" s="195"/>
      <x:c r="I243" s="96" t="str">
        <x:f>IF($B243="","",IF(COUNTIF(Account_Map!$A$6:$A$31,$B243)&gt;0,"Mapped","UNMAPPED"))</x:f>
      </x:c>
    </x:row>
    <x:row r="244">
      <x:c r="A244" s="194"/>
      <x:c r="B244" s="195"/>
      <x:c r="C244" s="195"/>
      <x:c r="D244" s="195"/>
      <x:c r="E244" s="195"/>
      <x:c r="F244" s="196"/>
      <x:c r="G244" s="195"/>
      <x:c r="H244" s="195"/>
      <x:c r="I244" s="96" t="str">
        <x:f>IF($B244="","",IF(COUNTIF(Account_Map!$A$6:$A$31,$B244)&gt;0,"Mapped","UNMAPPED"))</x:f>
      </x:c>
    </x:row>
    <x:row r="245">
      <x:c r="A245" s="194"/>
      <x:c r="B245" s="195"/>
      <x:c r="C245" s="195"/>
      <x:c r="D245" s="195"/>
      <x:c r="E245" s="195"/>
      <x:c r="F245" s="196"/>
      <x:c r="G245" s="195"/>
      <x:c r="H245" s="195"/>
      <x:c r="I245" s="96" t="str">
        <x:f>IF($B245="","",IF(COUNTIF(Account_Map!$A$6:$A$31,$B245)&gt;0,"Mapped","UNMAPPED"))</x:f>
      </x:c>
    </x:row>
    <x:row r="246">
      <x:c r="A246" s="194"/>
      <x:c r="B246" s="195"/>
      <x:c r="C246" s="195"/>
      <x:c r="D246" s="195"/>
      <x:c r="E246" s="195"/>
      <x:c r="F246" s="196"/>
      <x:c r="G246" s="195"/>
      <x:c r="H246" s="195"/>
      <x:c r="I246" s="96" t="str">
        <x:f>IF($B246="","",IF(COUNTIF(Account_Map!$A$6:$A$31,$B246)&gt;0,"Mapped","UNMAPPED"))</x:f>
      </x:c>
    </x:row>
    <x:row r="247">
      <x:c r="A247" s="194"/>
      <x:c r="B247" s="195"/>
      <x:c r="C247" s="195"/>
      <x:c r="D247" s="195"/>
      <x:c r="E247" s="195"/>
      <x:c r="F247" s="196"/>
      <x:c r="G247" s="195"/>
      <x:c r="H247" s="195"/>
      <x:c r="I247" s="96" t="str">
        <x:f>IF($B247="","",IF(COUNTIF(Account_Map!$A$6:$A$31,$B247)&gt;0,"Mapped","UNMAPPED"))</x:f>
      </x:c>
    </x:row>
    <x:row r="248">
      <x:c r="A248" s="194"/>
      <x:c r="B248" s="195"/>
      <x:c r="C248" s="195"/>
      <x:c r="D248" s="195"/>
      <x:c r="E248" s="195"/>
      <x:c r="F248" s="196"/>
      <x:c r="G248" s="195"/>
      <x:c r="H248" s="195"/>
      <x:c r="I248" s="96" t="str">
        <x:f>IF($B248="","",IF(COUNTIF(Account_Map!$A$6:$A$31,$B248)&gt;0,"Mapped","UNMAPPED"))</x:f>
      </x:c>
    </x:row>
    <x:row r="249">
      <x:c r="A249" s="194"/>
      <x:c r="B249" s="195"/>
      <x:c r="C249" s="195"/>
      <x:c r="D249" s="195"/>
      <x:c r="E249" s="195"/>
      <x:c r="F249" s="196"/>
      <x:c r="G249" s="195"/>
      <x:c r="H249" s="195"/>
      <x:c r="I249" s="96" t="str">
        <x:f>IF($B249="","",IF(COUNTIF(Account_Map!$A$6:$A$31,$B249)&gt;0,"Mapped","UNMAPPED"))</x:f>
      </x:c>
    </x:row>
    <x:row r="250">
      <x:c r="A250" s="194"/>
      <x:c r="B250" s="195"/>
      <x:c r="C250" s="195"/>
      <x:c r="D250" s="195"/>
      <x:c r="E250" s="195"/>
      <x:c r="F250" s="196"/>
      <x:c r="G250" s="195"/>
      <x:c r="H250" s="195"/>
      <x:c r="I250" s="96" t="str">
        <x:f>IF($B250="","",IF(COUNTIF(Account_Map!$A$6:$A$31,$B250)&gt;0,"Mapped","UNMAPPED"))</x:f>
      </x:c>
    </x:row>
    <x:row r="251">
      <x:c r="A251" s="194"/>
      <x:c r="B251" s="195"/>
      <x:c r="C251" s="195"/>
      <x:c r="D251" s="195"/>
      <x:c r="E251" s="195"/>
      <x:c r="F251" s="196"/>
      <x:c r="G251" s="195"/>
      <x:c r="H251" s="195"/>
      <x:c r="I251" s="96" t="str">
        <x:f>IF($B251="","",IF(COUNTIF(Account_Map!$A$6:$A$31,$B251)&gt;0,"Mapped","UNMAPPED"))</x:f>
      </x:c>
    </x:row>
    <x:row r="252">
      <x:c r="A252" s="194"/>
      <x:c r="B252" s="195"/>
      <x:c r="C252" s="195"/>
      <x:c r="D252" s="195"/>
      <x:c r="E252" s="195"/>
      <x:c r="F252" s="196"/>
      <x:c r="G252" s="195"/>
      <x:c r="H252" s="195"/>
      <x:c r="I252" s="96" t="str">
        <x:f>IF($B252="","",IF(COUNTIF(Account_Map!$A$6:$A$31,$B252)&gt;0,"Mapped","UNMAPPED"))</x:f>
      </x:c>
    </x:row>
    <x:row r="253">
      <x:c r="A253" s="194"/>
      <x:c r="B253" s="195"/>
      <x:c r="C253" s="195"/>
      <x:c r="D253" s="195"/>
      <x:c r="E253" s="195"/>
      <x:c r="F253" s="196"/>
      <x:c r="G253" s="195"/>
      <x:c r="H253" s="195"/>
      <x:c r="I253" s="96" t="str">
        <x:f>IF($B253="","",IF(COUNTIF(Account_Map!$A$6:$A$31,$B253)&gt;0,"Mapped","UNMAPPED"))</x:f>
      </x:c>
    </x:row>
    <x:row r="254">
      <x:c r="A254" s="194"/>
      <x:c r="B254" s="195"/>
      <x:c r="C254" s="195"/>
      <x:c r="D254" s="195"/>
      <x:c r="E254" s="195"/>
      <x:c r="F254" s="196"/>
      <x:c r="G254" s="195"/>
      <x:c r="H254" s="195"/>
      <x:c r="I254" s="96" t="str">
        <x:f>IF($B254="","",IF(COUNTIF(Account_Map!$A$6:$A$31,$B254)&gt;0,"Mapped","UNMAPPED"))</x:f>
      </x:c>
    </x:row>
    <x:row r="255">
      <x:c r="A255" s="194"/>
      <x:c r="B255" s="195"/>
      <x:c r="C255" s="195"/>
      <x:c r="D255" s="195"/>
      <x:c r="E255" s="195"/>
      <x:c r="F255" s="196"/>
      <x:c r="G255" s="195"/>
      <x:c r="H255" s="195"/>
      <x:c r="I255" s="96" t="str">
        <x:f>IF($B255="","",IF(COUNTIF(Account_Map!$A$6:$A$31,$B255)&gt;0,"Mapped","UNMAPPED"))</x:f>
      </x:c>
    </x:row>
    <x:row r="256">
      <x:c r="A256" s="194"/>
      <x:c r="B256" s="195"/>
      <x:c r="C256" s="195"/>
      <x:c r="D256" s="195"/>
      <x:c r="E256" s="195"/>
      <x:c r="F256" s="196"/>
      <x:c r="G256" s="195"/>
      <x:c r="H256" s="195"/>
      <x:c r="I256" s="96" t="str">
        <x:f>IF($B256="","",IF(COUNTIF(Account_Map!$A$6:$A$31,$B256)&gt;0,"Mapped","UNMAPPED"))</x:f>
      </x:c>
    </x:row>
    <x:row r="257">
      <x:c r="A257" s="194"/>
      <x:c r="B257" s="195"/>
      <x:c r="C257" s="195"/>
      <x:c r="D257" s="195"/>
      <x:c r="E257" s="195"/>
      <x:c r="F257" s="196"/>
      <x:c r="G257" s="195"/>
      <x:c r="H257" s="195"/>
      <x:c r="I257" s="96" t="str">
        <x:f>IF($B257="","",IF(COUNTIF(Account_Map!$A$6:$A$31,$B257)&gt;0,"Mapped","UNMAPPED"))</x:f>
      </x:c>
    </x:row>
    <x:row r="258">
      <x:c r="A258" s="194"/>
      <x:c r="B258" s="195"/>
      <x:c r="C258" s="195"/>
      <x:c r="D258" s="195"/>
      <x:c r="E258" s="195"/>
      <x:c r="F258" s="196"/>
      <x:c r="G258" s="195"/>
      <x:c r="H258" s="195"/>
      <x:c r="I258" s="96" t="str">
        <x:f>IF($B258="","",IF(COUNTIF(Account_Map!$A$6:$A$31,$B258)&gt;0,"Mapped","UNMAPPED"))</x:f>
      </x:c>
    </x:row>
    <x:row r="259">
      <x:c r="A259" s="194"/>
      <x:c r="B259" s="195"/>
      <x:c r="C259" s="195"/>
      <x:c r="D259" s="195"/>
      <x:c r="E259" s="195"/>
      <x:c r="F259" s="196"/>
      <x:c r="G259" s="195"/>
      <x:c r="H259" s="195"/>
      <x:c r="I259" s="96" t="str">
        <x:f>IF($B259="","",IF(COUNTIF(Account_Map!$A$6:$A$31,$B259)&gt;0,"Mapped","UNMAPPED"))</x:f>
      </x:c>
    </x:row>
    <x:row r="260">
      <x:c r="A260" s="194"/>
      <x:c r="B260" s="195"/>
      <x:c r="C260" s="195"/>
      <x:c r="D260" s="195"/>
      <x:c r="E260" s="195"/>
      <x:c r="F260" s="196"/>
      <x:c r="G260" s="195"/>
      <x:c r="H260" s="195"/>
      <x:c r="I260" s="96" t="str">
        <x:f>IF($B260="","",IF(COUNTIF(Account_Map!$A$6:$A$31,$B260)&gt;0,"Mapped","UNMAPPED"))</x:f>
      </x:c>
    </x:row>
    <x:row r="261">
      <x:c r="A261" s="194"/>
      <x:c r="B261" s="195"/>
      <x:c r="C261" s="195"/>
      <x:c r="D261" s="195"/>
      <x:c r="E261" s="195"/>
      <x:c r="F261" s="196"/>
      <x:c r="G261" s="195"/>
      <x:c r="H261" s="195"/>
      <x:c r="I261" s="96" t="str">
        <x:f>IF($B261="","",IF(COUNTIF(Account_Map!$A$6:$A$31,$B261)&gt;0,"Mapped","UNMAPPED"))</x:f>
      </x:c>
    </x:row>
    <x:row r="262">
      <x:c r="A262" s="194"/>
      <x:c r="B262" s="195"/>
      <x:c r="C262" s="195"/>
      <x:c r="D262" s="195"/>
      <x:c r="E262" s="195"/>
      <x:c r="F262" s="196"/>
      <x:c r="G262" s="195"/>
      <x:c r="H262" s="195"/>
      <x:c r="I262" s="96" t="str">
        <x:f>IF($B262="","",IF(COUNTIF(Account_Map!$A$6:$A$31,$B262)&gt;0,"Mapped","UNMAPPED"))</x:f>
      </x:c>
    </x:row>
    <x:row r="263">
      <x:c r="A263" s="194"/>
      <x:c r="B263" s="195"/>
      <x:c r="C263" s="195"/>
      <x:c r="D263" s="195"/>
      <x:c r="E263" s="195"/>
      <x:c r="F263" s="196"/>
      <x:c r="G263" s="195"/>
      <x:c r="H263" s="195"/>
      <x:c r="I263" s="96" t="str">
        <x:f>IF($B263="","",IF(COUNTIF(Account_Map!$A$6:$A$31,$B263)&gt;0,"Mapped","UNMAPPED"))</x:f>
      </x:c>
    </x:row>
    <x:row r="264">
      <x:c r="A264" s="194"/>
      <x:c r="B264" s="195"/>
      <x:c r="C264" s="195"/>
      <x:c r="D264" s="195"/>
      <x:c r="E264" s="195"/>
      <x:c r="F264" s="196"/>
      <x:c r="G264" s="195"/>
      <x:c r="H264" s="195"/>
      <x:c r="I264" s="96" t="str">
        <x:f>IF($B264="","",IF(COUNTIF(Account_Map!$A$6:$A$31,$B264)&gt;0,"Mapped","UNMAPPED"))</x:f>
      </x:c>
    </x:row>
    <x:row r="265">
      <x:c r="A265" s="194"/>
      <x:c r="B265" s="195"/>
      <x:c r="C265" s="195"/>
      <x:c r="D265" s="195"/>
      <x:c r="E265" s="195"/>
      <x:c r="F265" s="196"/>
      <x:c r="G265" s="195"/>
      <x:c r="H265" s="195"/>
      <x:c r="I265" s="96" t="str">
        <x:f>IF($B265="","",IF(COUNTIF(Account_Map!$A$6:$A$31,$B265)&gt;0,"Mapped","UNMAPPED"))</x:f>
      </x:c>
    </x:row>
    <x:row r="266">
      <x:c r="A266" s="194"/>
      <x:c r="B266" s="195"/>
      <x:c r="C266" s="195"/>
      <x:c r="D266" s="195"/>
      <x:c r="E266" s="195"/>
      <x:c r="F266" s="196"/>
      <x:c r="G266" s="195"/>
      <x:c r="H266" s="195"/>
      <x:c r="I266" s="96" t="str">
        <x:f>IF($B266="","",IF(COUNTIF(Account_Map!$A$6:$A$31,$B266)&gt;0,"Mapped","UNMAPPED"))</x:f>
      </x:c>
    </x:row>
    <x:row r="267">
      <x:c r="A267" s="194"/>
      <x:c r="B267" s="195"/>
      <x:c r="C267" s="195"/>
      <x:c r="D267" s="195"/>
      <x:c r="E267" s="195"/>
      <x:c r="F267" s="196"/>
      <x:c r="G267" s="195"/>
      <x:c r="H267" s="195"/>
      <x:c r="I267" s="96" t="str">
        <x:f>IF($B267="","",IF(COUNTIF(Account_Map!$A$6:$A$31,$B267)&gt;0,"Mapped","UNMAPPED"))</x:f>
      </x:c>
    </x:row>
    <x:row r="268">
      <x:c r="A268" s="194"/>
      <x:c r="B268" s="195"/>
      <x:c r="C268" s="195"/>
      <x:c r="D268" s="195"/>
      <x:c r="E268" s="195"/>
      <x:c r="F268" s="196"/>
      <x:c r="G268" s="195"/>
      <x:c r="H268" s="195"/>
      <x:c r="I268" s="96" t="str">
        <x:f>IF($B268="","",IF(COUNTIF(Account_Map!$A$6:$A$31,$B268)&gt;0,"Mapped","UNMAPPED"))</x:f>
      </x:c>
    </x:row>
    <x:row r="269">
      <x:c r="A269" s="194"/>
      <x:c r="B269" s="195"/>
      <x:c r="C269" s="195"/>
      <x:c r="D269" s="195"/>
      <x:c r="E269" s="195"/>
      <x:c r="F269" s="196"/>
      <x:c r="G269" s="195"/>
      <x:c r="H269" s="195"/>
      <x:c r="I269" s="96" t="str">
        <x:f>IF($B269="","",IF(COUNTIF(Account_Map!$A$6:$A$31,$B269)&gt;0,"Mapped","UNMAPPED"))</x:f>
      </x:c>
    </x:row>
    <x:row r="270">
      <x:c r="A270" s="194"/>
      <x:c r="B270" s="195"/>
      <x:c r="C270" s="195"/>
      <x:c r="D270" s="195"/>
      <x:c r="E270" s="195"/>
      <x:c r="F270" s="196"/>
      <x:c r="G270" s="195"/>
      <x:c r="H270" s="195"/>
      <x:c r="I270" s="96" t="str">
        <x:f>IF($B270="","",IF(COUNTIF(Account_Map!$A$6:$A$31,$B270)&gt;0,"Mapped","UNMAPPED"))</x:f>
      </x:c>
    </x:row>
    <x:row r="271">
      <x:c r="A271" s="194"/>
      <x:c r="B271" s="195"/>
      <x:c r="C271" s="195"/>
      <x:c r="D271" s="195"/>
      <x:c r="E271" s="195"/>
      <x:c r="F271" s="196"/>
      <x:c r="G271" s="195"/>
      <x:c r="H271" s="195"/>
      <x:c r="I271" s="96" t="str">
        <x:f>IF($B271="","",IF(COUNTIF(Account_Map!$A$6:$A$31,$B271)&gt;0,"Mapped","UNMAPPED"))</x:f>
      </x:c>
    </x:row>
    <x:row r="272">
      <x:c r="A272" s="194"/>
      <x:c r="B272" s="195"/>
      <x:c r="C272" s="195"/>
      <x:c r="D272" s="195"/>
      <x:c r="E272" s="195"/>
      <x:c r="F272" s="196"/>
      <x:c r="G272" s="195"/>
      <x:c r="H272" s="195"/>
      <x:c r="I272" s="96" t="str">
        <x:f>IF($B272="","",IF(COUNTIF(Account_Map!$A$6:$A$31,$B272)&gt;0,"Mapped","UNMAPPED"))</x:f>
      </x:c>
    </x:row>
    <x:row r="273">
      <x:c r="A273" s="194"/>
      <x:c r="B273" s="195"/>
      <x:c r="C273" s="195"/>
      <x:c r="D273" s="195"/>
      <x:c r="E273" s="195"/>
      <x:c r="F273" s="196"/>
      <x:c r="G273" s="195"/>
      <x:c r="H273" s="195"/>
      <x:c r="I273" s="96" t="str">
        <x:f>IF($B273="","",IF(COUNTIF(Account_Map!$A$6:$A$31,$B273)&gt;0,"Mapped","UNMAPPED"))</x:f>
      </x:c>
    </x:row>
    <x:row r="274">
      <x:c r="A274" s="194"/>
      <x:c r="B274" s="195"/>
      <x:c r="C274" s="195"/>
      <x:c r="D274" s="195"/>
      <x:c r="E274" s="195"/>
      <x:c r="F274" s="196"/>
      <x:c r="G274" s="195"/>
      <x:c r="H274" s="195"/>
      <x:c r="I274" s="96" t="str">
        <x:f>IF($B274="","",IF(COUNTIF(Account_Map!$A$6:$A$31,$B274)&gt;0,"Mapped","UNMAPPED"))</x:f>
      </x:c>
    </x:row>
    <x:row r="275">
      <x:c r="A275" s="194"/>
      <x:c r="B275" s="195"/>
      <x:c r="C275" s="195"/>
      <x:c r="D275" s="195"/>
      <x:c r="E275" s="195"/>
      <x:c r="F275" s="196"/>
      <x:c r="G275" s="195"/>
      <x:c r="H275" s="195"/>
      <x:c r="I275" s="96" t="str">
        <x:f>IF($B275="","",IF(COUNTIF(Account_Map!$A$6:$A$31,$B275)&gt;0,"Mapped","UNMAPPED"))</x:f>
      </x:c>
    </x:row>
    <x:row r="276">
      <x:c r="A276" s="194"/>
      <x:c r="B276" s="195"/>
      <x:c r="C276" s="195"/>
      <x:c r="D276" s="195"/>
      <x:c r="E276" s="195"/>
      <x:c r="F276" s="196"/>
      <x:c r="G276" s="195"/>
      <x:c r="H276" s="195"/>
      <x:c r="I276" s="96" t="str">
        <x:f>IF($B276="","",IF(COUNTIF(Account_Map!$A$6:$A$31,$B276)&gt;0,"Mapped","UNMAPPED"))</x:f>
      </x:c>
    </x:row>
    <x:row r="277">
      <x:c r="A277" s="194"/>
      <x:c r="B277" s="195"/>
      <x:c r="C277" s="195"/>
      <x:c r="D277" s="195"/>
      <x:c r="E277" s="195"/>
      <x:c r="F277" s="196"/>
      <x:c r="G277" s="195"/>
      <x:c r="H277" s="195"/>
      <x:c r="I277" s="96" t="str">
        <x:f>IF($B277="","",IF(COUNTIF(Account_Map!$A$6:$A$31,$B277)&gt;0,"Mapped","UNMAPPED"))</x:f>
      </x:c>
    </x:row>
    <x:row r="278">
      <x:c r="A278" s="194"/>
      <x:c r="B278" s="195"/>
      <x:c r="C278" s="195"/>
      <x:c r="D278" s="195"/>
      <x:c r="E278" s="195"/>
      <x:c r="F278" s="196"/>
      <x:c r="G278" s="195"/>
      <x:c r="H278" s="195"/>
      <x:c r="I278" s="96" t="str">
        <x:f>IF($B278="","",IF(COUNTIF(Account_Map!$A$6:$A$31,$B278)&gt;0,"Mapped","UNMAPPED"))</x:f>
      </x:c>
    </x:row>
    <x:row r="279">
      <x:c r="A279" s="194"/>
      <x:c r="B279" s="195"/>
      <x:c r="C279" s="195"/>
      <x:c r="D279" s="195"/>
      <x:c r="E279" s="195"/>
      <x:c r="F279" s="196"/>
      <x:c r="G279" s="195"/>
      <x:c r="H279" s="195"/>
      <x:c r="I279" s="96" t="str">
        <x:f>IF($B279="","",IF(COUNTIF(Account_Map!$A$6:$A$31,$B279)&gt;0,"Mapped","UNMAPPED"))</x:f>
      </x:c>
    </x:row>
    <x:row r="280">
      <x:c r="A280" s="194"/>
      <x:c r="B280" s="195"/>
      <x:c r="C280" s="195"/>
      <x:c r="D280" s="195"/>
      <x:c r="E280" s="195"/>
      <x:c r="F280" s="196"/>
      <x:c r="G280" s="195"/>
      <x:c r="H280" s="195"/>
      <x:c r="I280" s="96" t="str">
        <x:f>IF($B280="","",IF(COUNTIF(Account_Map!$A$6:$A$31,$B280)&gt;0,"Mapped","UNMAPPED"))</x:f>
      </x:c>
    </x:row>
    <x:row r="281">
      <x:c r="A281" s="194"/>
      <x:c r="B281" s="195"/>
      <x:c r="C281" s="195"/>
      <x:c r="D281" s="195"/>
      <x:c r="E281" s="195"/>
      <x:c r="F281" s="196"/>
      <x:c r="G281" s="195"/>
      <x:c r="H281" s="195"/>
      <x:c r="I281" s="96" t="str">
        <x:f>IF($B281="","",IF(COUNTIF(Account_Map!$A$6:$A$31,$B281)&gt;0,"Mapped","UNMAPPED"))</x:f>
      </x:c>
    </x:row>
    <x:row r="282">
      <x:c r="A282" s="194"/>
      <x:c r="B282" s="195"/>
      <x:c r="C282" s="195"/>
      <x:c r="D282" s="195"/>
      <x:c r="E282" s="195"/>
      <x:c r="F282" s="196"/>
      <x:c r="G282" s="195"/>
      <x:c r="H282" s="195"/>
      <x:c r="I282" s="96" t="str">
        <x:f>IF($B282="","",IF(COUNTIF(Account_Map!$A$6:$A$31,$B282)&gt;0,"Mapped","UNMAPPED"))</x:f>
      </x:c>
    </x:row>
    <x:row r="283">
      <x:c r="A283" s="194"/>
      <x:c r="B283" s="195"/>
      <x:c r="C283" s="195"/>
      <x:c r="D283" s="195"/>
      <x:c r="E283" s="195"/>
      <x:c r="F283" s="196"/>
      <x:c r="G283" s="195"/>
      <x:c r="H283" s="195"/>
      <x:c r="I283" s="96" t="str">
        <x:f>IF($B283="","",IF(COUNTIF(Account_Map!$A$6:$A$31,$B283)&gt;0,"Mapped","UNMAPPED"))</x:f>
      </x:c>
    </x:row>
    <x:row r="284">
      <x:c r="A284" s="194"/>
      <x:c r="B284" s="195"/>
      <x:c r="C284" s="195"/>
      <x:c r="D284" s="195"/>
      <x:c r="E284" s="195"/>
      <x:c r="F284" s="196"/>
      <x:c r="G284" s="195"/>
      <x:c r="H284" s="195"/>
      <x:c r="I284" s="96" t="str">
        <x:f>IF($B284="","",IF(COUNTIF(Account_Map!$A$6:$A$31,$B284)&gt;0,"Mapped","UNMAPPED"))</x:f>
      </x:c>
    </x:row>
    <x:row r="285">
      <x:c r="A285" s="194"/>
      <x:c r="B285" s="195"/>
      <x:c r="C285" s="195"/>
      <x:c r="D285" s="195"/>
      <x:c r="E285" s="195"/>
      <x:c r="F285" s="196"/>
      <x:c r="G285" s="195"/>
      <x:c r="H285" s="195"/>
      <x:c r="I285" s="96" t="str">
        <x:f>IF($B285="","",IF(COUNTIF(Account_Map!$A$6:$A$31,$B285)&gt;0,"Mapped","UNMAPPED"))</x:f>
      </x:c>
    </x:row>
    <x:row r="286">
      <x:c r="A286" s="194"/>
      <x:c r="B286" s="195"/>
      <x:c r="C286" s="195"/>
      <x:c r="D286" s="195"/>
      <x:c r="E286" s="195"/>
      <x:c r="F286" s="196"/>
      <x:c r="G286" s="195"/>
      <x:c r="H286" s="195"/>
      <x:c r="I286" s="96" t="str">
        <x:f>IF($B286="","",IF(COUNTIF(Account_Map!$A$6:$A$31,$B286)&gt;0,"Mapped","UNMAPPED"))</x:f>
      </x:c>
    </x:row>
    <x:row r="287">
      <x:c r="A287" s="194"/>
      <x:c r="B287" s="195"/>
      <x:c r="C287" s="195"/>
      <x:c r="D287" s="195"/>
      <x:c r="E287" s="195"/>
      <x:c r="F287" s="196"/>
      <x:c r="G287" s="195"/>
      <x:c r="H287" s="195"/>
      <x:c r="I287" s="96" t="str">
        <x:f>IF($B287="","",IF(COUNTIF(Account_Map!$A$6:$A$31,$B287)&gt;0,"Mapped","UNMAPPED"))</x:f>
      </x:c>
    </x:row>
    <x:row r="288">
      <x:c r="A288" s="194"/>
      <x:c r="B288" s="195"/>
      <x:c r="C288" s="195"/>
      <x:c r="D288" s="195"/>
      <x:c r="E288" s="195"/>
      <x:c r="F288" s="196"/>
      <x:c r="G288" s="195"/>
      <x:c r="H288" s="195"/>
      <x:c r="I288" s="96" t="str">
        <x:f>IF($B288="","",IF(COUNTIF(Account_Map!$A$6:$A$31,$B288)&gt;0,"Mapped","UNMAPPED"))</x:f>
      </x:c>
    </x:row>
    <x:row r="289">
      <x:c r="A289" s="194"/>
      <x:c r="B289" s="195"/>
      <x:c r="C289" s="195"/>
      <x:c r="D289" s="195"/>
      <x:c r="E289" s="195"/>
      <x:c r="F289" s="196"/>
      <x:c r="G289" s="195"/>
      <x:c r="H289" s="195"/>
      <x:c r="I289" s="96" t="str">
        <x:f>IF($B289="","",IF(COUNTIF(Account_Map!$A$6:$A$31,$B289)&gt;0,"Mapped","UNMAPPED"))</x:f>
      </x:c>
    </x:row>
    <x:row r="290">
      <x:c r="A290" s="194"/>
      <x:c r="B290" s="195"/>
      <x:c r="C290" s="195"/>
      <x:c r="D290" s="195"/>
      <x:c r="E290" s="195"/>
      <x:c r="F290" s="196"/>
      <x:c r="G290" s="195"/>
      <x:c r="H290" s="195"/>
      <x:c r="I290" s="96" t="str">
        <x:f>IF($B290="","",IF(COUNTIF(Account_Map!$A$6:$A$31,$B290)&gt;0,"Mapped","UNMAPPED"))</x:f>
      </x:c>
    </x:row>
    <x:row r="291">
      <x:c r="A291" s="194"/>
      <x:c r="B291" s="195"/>
      <x:c r="C291" s="195"/>
      <x:c r="D291" s="195"/>
      <x:c r="E291" s="195"/>
      <x:c r="F291" s="196"/>
      <x:c r="G291" s="195"/>
      <x:c r="H291" s="195"/>
      <x:c r="I291" s="96" t="str">
        <x:f>IF($B291="","",IF(COUNTIF(Account_Map!$A$6:$A$31,$B291)&gt;0,"Mapped","UNMAPPED"))</x:f>
      </x:c>
    </x:row>
    <x:row r="292">
      <x:c r="A292" s="194"/>
      <x:c r="B292" s="195"/>
      <x:c r="C292" s="195"/>
      <x:c r="D292" s="195"/>
      <x:c r="E292" s="195"/>
      <x:c r="F292" s="196"/>
      <x:c r="G292" s="195"/>
      <x:c r="H292" s="195"/>
      <x:c r="I292" s="96" t="str">
        <x:f>IF($B292="","",IF(COUNTIF(Account_Map!$A$6:$A$31,$B292)&gt;0,"Mapped","UNMAPPED"))</x:f>
      </x:c>
    </x:row>
    <x:row r="293">
      <x:c r="A293" s="194"/>
      <x:c r="B293" s="195"/>
      <x:c r="C293" s="195"/>
      <x:c r="D293" s="195"/>
      <x:c r="E293" s="195"/>
      <x:c r="F293" s="196"/>
      <x:c r="G293" s="195"/>
      <x:c r="H293" s="195"/>
      <x:c r="I293" s="96" t="str">
        <x:f>IF($B293="","",IF(COUNTIF(Account_Map!$A$6:$A$31,$B293)&gt;0,"Mapped","UNMAPPED"))</x:f>
      </x:c>
    </x:row>
    <x:row r="294">
      <x:c r="A294" s="194"/>
      <x:c r="B294" s="195"/>
      <x:c r="C294" s="195"/>
      <x:c r="D294" s="195"/>
      <x:c r="E294" s="195"/>
      <x:c r="F294" s="196"/>
      <x:c r="G294" s="195"/>
      <x:c r="H294" s="195"/>
      <x:c r="I294" s="96" t="str">
        <x:f>IF($B294="","",IF(COUNTIF(Account_Map!$A$6:$A$31,$B294)&gt;0,"Mapped","UNMAPPED"))</x:f>
      </x:c>
    </x:row>
    <x:row r="295">
      <x:c r="A295" s="194"/>
      <x:c r="B295" s="195"/>
      <x:c r="C295" s="195"/>
      <x:c r="D295" s="195"/>
      <x:c r="E295" s="195"/>
      <x:c r="F295" s="196"/>
      <x:c r="G295" s="195"/>
      <x:c r="H295" s="195"/>
      <x:c r="I295" s="96" t="str">
        <x:f>IF($B295="","",IF(COUNTIF(Account_Map!$A$6:$A$31,$B295)&gt;0,"Mapped","UNMAPPED"))</x:f>
      </x:c>
    </x:row>
    <x:row r="296">
      <x:c r="A296" s="194"/>
      <x:c r="B296" s="195"/>
      <x:c r="C296" s="195"/>
      <x:c r="D296" s="195"/>
      <x:c r="E296" s="195"/>
      <x:c r="F296" s="196"/>
      <x:c r="G296" s="195"/>
      <x:c r="H296" s="195"/>
      <x:c r="I296" s="96" t="str">
        <x:f>IF($B296="","",IF(COUNTIF(Account_Map!$A$6:$A$31,$B296)&gt;0,"Mapped","UNMAPPED"))</x:f>
      </x:c>
    </x:row>
    <x:row r="297">
      <x:c r="A297" s="194"/>
      <x:c r="B297" s="195"/>
      <x:c r="C297" s="195"/>
      <x:c r="D297" s="195"/>
      <x:c r="E297" s="195"/>
      <x:c r="F297" s="196"/>
      <x:c r="G297" s="195"/>
      <x:c r="H297" s="195"/>
      <x:c r="I297" s="96" t="str">
        <x:f>IF($B297="","",IF(COUNTIF(Account_Map!$A$6:$A$31,$B297)&gt;0,"Mapped","UNMAPPED"))</x:f>
      </x:c>
    </x:row>
    <x:row r="298">
      <x:c r="A298" s="194"/>
      <x:c r="B298" s="195"/>
      <x:c r="C298" s="195"/>
      <x:c r="D298" s="195"/>
      <x:c r="E298" s="195"/>
      <x:c r="F298" s="196"/>
      <x:c r="G298" s="195"/>
      <x:c r="H298" s="195"/>
      <x:c r="I298" s="96" t="str">
        <x:f>IF($B298="","",IF(COUNTIF(Account_Map!$A$6:$A$31,$B298)&gt;0,"Mapped","UNMAPPED"))</x:f>
      </x:c>
    </x:row>
    <x:row r="299">
      <x:c r="A299" s="194"/>
      <x:c r="B299" s="195"/>
      <x:c r="C299" s="195"/>
      <x:c r="D299" s="195"/>
      <x:c r="E299" s="195"/>
      <x:c r="F299" s="196"/>
      <x:c r="G299" s="195"/>
      <x:c r="H299" s="195"/>
      <x:c r="I299" s="96" t="str">
        <x:f>IF($B299="","",IF(COUNTIF(Account_Map!$A$6:$A$31,$B299)&gt;0,"Mapped","UNMAPPED"))</x:f>
      </x:c>
    </x:row>
    <x:row r="300">
      <x:c r="A300" s="194"/>
      <x:c r="B300" s="195"/>
      <x:c r="C300" s="195"/>
      <x:c r="D300" s="195"/>
      <x:c r="E300" s="195"/>
      <x:c r="F300" s="196"/>
      <x:c r="G300" s="195"/>
      <x:c r="H300" s="195"/>
      <x:c r="I300" s="96" t="str">
        <x:f>IF($B300="","",IF(COUNTIF(Account_Map!$A$6:$A$31,$B300)&gt;0,"Mapped","UNMAPPED"))</x:f>
      </x:c>
    </x:row>
    <x:row r="301">
      <x:c r="A301" s="194"/>
      <x:c r="B301" s="195"/>
      <x:c r="C301" s="195"/>
      <x:c r="D301" s="195"/>
      <x:c r="E301" s="195"/>
      <x:c r="F301" s="196"/>
      <x:c r="G301" s="195"/>
      <x:c r="H301" s="195"/>
      <x:c r="I301" s="96" t="str">
        <x:f>IF($B301="","",IF(COUNTIF(Account_Map!$A$6:$A$31,$B301)&gt;0,"Mapped","UNMAPPED"))</x:f>
      </x:c>
    </x:row>
    <x:row r="302">
      <x:c r="A302" s="194"/>
      <x:c r="B302" s="195"/>
      <x:c r="C302" s="195"/>
      <x:c r="D302" s="195"/>
      <x:c r="E302" s="195"/>
      <x:c r="F302" s="196"/>
      <x:c r="G302" s="195"/>
      <x:c r="H302" s="195"/>
      <x:c r="I302" s="96" t="str">
        <x:f>IF($B302="","",IF(COUNTIF(Account_Map!$A$6:$A$31,$B302)&gt;0,"Mapped","UNMAPPED"))</x:f>
      </x:c>
    </x:row>
    <x:row r="303">
      <x:c r="A303" s="194"/>
      <x:c r="B303" s="195"/>
      <x:c r="C303" s="195"/>
      <x:c r="D303" s="195"/>
      <x:c r="E303" s="195"/>
      <x:c r="F303" s="196"/>
      <x:c r="G303" s="195"/>
      <x:c r="H303" s="195"/>
      <x:c r="I303" s="96" t="str">
        <x:f>IF($B303="","",IF(COUNTIF(Account_Map!$A$6:$A$31,$B303)&gt;0,"Mapped","UNMAPPED"))</x:f>
      </x:c>
    </x:row>
    <x:row r="304">
      <x:c r="A304" s="194"/>
      <x:c r="B304" s="195"/>
      <x:c r="C304" s="195"/>
      <x:c r="D304" s="195"/>
      <x:c r="E304" s="195"/>
      <x:c r="F304" s="196"/>
      <x:c r="G304" s="195"/>
      <x:c r="H304" s="195"/>
      <x:c r="I304" s="96" t="str">
        <x:f>IF($B304="","",IF(COUNTIF(Account_Map!$A$6:$A$31,$B304)&gt;0,"Mapped","UNMAPPED"))</x:f>
      </x:c>
    </x:row>
    <x:row r="305">
      <x:c r="A305" s="194"/>
      <x:c r="B305" s="195"/>
      <x:c r="C305" s="195"/>
      <x:c r="D305" s="195"/>
      <x:c r="E305" s="195"/>
      <x:c r="F305" s="196"/>
      <x:c r="G305" s="195"/>
      <x:c r="H305" s="195"/>
      <x:c r="I305" s="96" t="str">
        <x:f>IF($B305="","",IF(COUNTIF(Account_Map!$A$6:$A$31,$B305)&gt;0,"Mapped","UNMAPPED"))</x:f>
      </x:c>
    </x:row>
    <x:row r="306">
      <x:c r="A306" s="194"/>
      <x:c r="B306" s="195"/>
      <x:c r="C306" s="195"/>
      <x:c r="D306" s="195"/>
      <x:c r="E306" s="195"/>
      <x:c r="F306" s="196"/>
      <x:c r="G306" s="195"/>
      <x:c r="H306" s="195"/>
      <x:c r="I306" s="96" t="str">
        <x:f>IF($B306="","",IF(COUNTIF(Account_Map!$A$6:$A$31,$B306)&gt;0,"Mapped","UNMAPPED"))</x:f>
      </x:c>
    </x:row>
    <x:row r="307">
      <x:c r="A307" s="194"/>
      <x:c r="B307" s="195"/>
      <x:c r="C307" s="195"/>
      <x:c r="D307" s="195"/>
      <x:c r="E307" s="195"/>
      <x:c r="F307" s="196"/>
      <x:c r="G307" s="195"/>
      <x:c r="H307" s="195"/>
      <x:c r="I307" s="96" t="str">
        <x:f>IF($B307="","",IF(COUNTIF(Account_Map!$A$6:$A$31,$B307)&gt;0,"Mapped","UNMAPPED"))</x:f>
      </x:c>
    </x:row>
    <x:row r="308">
      <x:c r="A308" s="194"/>
      <x:c r="B308" s="195"/>
      <x:c r="C308" s="195"/>
      <x:c r="D308" s="195"/>
      <x:c r="E308" s="195"/>
      <x:c r="F308" s="196"/>
      <x:c r="G308" s="195"/>
      <x:c r="H308" s="195"/>
      <x:c r="I308" s="96" t="str">
        <x:f>IF($B308="","",IF(COUNTIF(Account_Map!$A$6:$A$31,$B308)&gt;0,"Mapped","UNMAPPED"))</x:f>
      </x:c>
    </x:row>
    <x:row r="309">
      <x:c r="A309" s="194"/>
      <x:c r="B309" s="195"/>
      <x:c r="C309" s="195"/>
      <x:c r="D309" s="195"/>
      <x:c r="E309" s="195"/>
      <x:c r="F309" s="196"/>
      <x:c r="G309" s="195"/>
      <x:c r="H309" s="195"/>
      <x:c r="I309" s="96" t="str">
        <x:f>IF($B309="","",IF(COUNTIF(Account_Map!$A$6:$A$31,$B309)&gt;0,"Mapped","UNMAPPED"))</x:f>
      </x:c>
    </x:row>
    <x:row r="310">
      <x:c r="A310" s="194"/>
      <x:c r="B310" s="195"/>
      <x:c r="C310" s="195"/>
      <x:c r="D310" s="195"/>
      <x:c r="E310" s="195"/>
      <x:c r="F310" s="196"/>
      <x:c r="G310" s="195"/>
      <x:c r="H310" s="195"/>
      <x:c r="I310" s="96" t="str">
        <x:f>IF($B310="","",IF(COUNTIF(Account_Map!$A$6:$A$31,$B310)&gt;0,"Mapped","UNMAPPED"))</x:f>
      </x:c>
    </x:row>
    <x:row r="311">
      <x:c r="A311" s="194"/>
      <x:c r="B311" s="195"/>
      <x:c r="C311" s="195"/>
      <x:c r="D311" s="195"/>
      <x:c r="E311" s="195"/>
      <x:c r="F311" s="196"/>
      <x:c r="G311" s="195"/>
      <x:c r="H311" s="195"/>
      <x:c r="I311" s="96" t="str">
        <x:f>IF($B311="","",IF(COUNTIF(Account_Map!$A$6:$A$31,$B311)&gt;0,"Mapped","UNMAPPED"))</x:f>
      </x:c>
    </x:row>
    <x:row r="312">
      <x:c r="A312" s="194"/>
      <x:c r="B312" s="195"/>
      <x:c r="C312" s="195"/>
      <x:c r="D312" s="195"/>
      <x:c r="E312" s="195"/>
      <x:c r="F312" s="196"/>
      <x:c r="G312" s="195"/>
      <x:c r="H312" s="195"/>
      <x:c r="I312" s="96" t="str">
        <x:f>IF($B312="","",IF(COUNTIF(Account_Map!$A$6:$A$31,$B312)&gt;0,"Mapped","UNMAPPED"))</x:f>
      </x:c>
    </x:row>
    <x:row r="313">
      <x:c r="A313" s="194"/>
      <x:c r="B313" s="195"/>
      <x:c r="C313" s="195"/>
      <x:c r="D313" s="195"/>
      <x:c r="E313" s="195"/>
      <x:c r="F313" s="196"/>
      <x:c r="G313" s="195"/>
      <x:c r="H313" s="195"/>
      <x:c r="I313" s="96" t="str">
        <x:f>IF($B313="","",IF(COUNTIF(Account_Map!$A$6:$A$31,$B313)&gt;0,"Mapped","UNMAPPED"))</x:f>
      </x:c>
    </x:row>
    <x:row r="314">
      <x:c r="A314" s="194"/>
      <x:c r="B314" s="195"/>
      <x:c r="C314" s="195"/>
      <x:c r="D314" s="195"/>
      <x:c r="E314" s="195"/>
      <x:c r="F314" s="196"/>
      <x:c r="G314" s="195"/>
      <x:c r="H314" s="195"/>
      <x:c r="I314" s="96" t="str">
        <x:f>IF($B314="","",IF(COUNTIF(Account_Map!$A$6:$A$31,$B314)&gt;0,"Mapped","UNMAPPED"))</x:f>
      </x:c>
    </x:row>
    <x:row r="315">
      <x:c r="A315" s="194"/>
      <x:c r="B315" s="195"/>
      <x:c r="C315" s="195"/>
      <x:c r="D315" s="195"/>
      <x:c r="E315" s="195"/>
      <x:c r="F315" s="196"/>
      <x:c r="G315" s="195"/>
      <x:c r="H315" s="195"/>
      <x:c r="I315" s="96" t="str">
        <x:f>IF($B315="","",IF(COUNTIF(Account_Map!$A$6:$A$31,$B315)&gt;0,"Mapped","UNMAPPED"))</x:f>
      </x:c>
    </x:row>
    <x:row r="316">
      <x:c r="A316" s="194"/>
      <x:c r="B316" s="195"/>
      <x:c r="C316" s="195"/>
      <x:c r="D316" s="195"/>
      <x:c r="E316" s="195"/>
      <x:c r="F316" s="196"/>
      <x:c r="G316" s="195"/>
      <x:c r="H316" s="195"/>
      <x:c r="I316" s="96" t="str">
        <x:f>IF($B316="","",IF(COUNTIF(Account_Map!$A$6:$A$31,$B316)&gt;0,"Mapped","UNMAPPED"))</x:f>
      </x:c>
    </x:row>
    <x:row r="317">
      <x:c r="A317" s="194"/>
      <x:c r="B317" s="195"/>
      <x:c r="C317" s="195"/>
      <x:c r="D317" s="195"/>
      <x:c r="E317" s="195"/>
      <x:c r="F317" s="196"/>
      <x:c r="G317" s="195"/>
      <x:c r="H317" s="195"/>
      <x:c r="I317" s="96" t="str">
        <x:f>IF($B317="","",IF(COUNTIF(Account_Map!$A$6:$A$31,$B317)&gt;0,"Mapped","UNMAPPED"))</x:f>
      </x:c>
    </x:row>
    <x:row r="318">
      <x:c r="A318" s="194"/>
      <x:c r="B318" s="195"/>
      <x:c r="C318" s="195"/>
      <x:c r="D318" s="195"/>
      <x:c r="E318" s="195"/>
      <x:c r="F318" s="196"/>
      <x:c r="G318" s="195"/>
      <x:c r="H318" s="195"/>
      <x:c r="I318" s="96" t="str">
        <x:f>IF($B318="","",IF(COUNTIF(Account_Map!$A$6:$A$31,$B318)&gt;0,"Mapped","UNMAPPED"))</x:f>
      </x:c>
    </x:row>
    <x:row r="319">
      <x:c r="A319" s="194"/>
      <x:c r="B319" s="195"/>
      <x:c r="C319" s="195"/>
      <x:c r="D319" s="195"/>
      <x:c r="E319" s="195"/>
      <x:c r="F319" s="196"/>
      <x:c r="G319" s="195"/>
      <x:c r="H319" s="195"/>
      <x:c r="I319" s="96" t="str">
        <x:f>IF($B319="","",IF(COUNTIF(Account_Map!$A$6:$A$31,$B319)&gt;0,"Mapped","UNMAPPED"))</x:f>
      </x:c>
    </x:row>
    <x:row r="320">
      <x:c r="A320" s="194"/>
      <x:c r="B320" s="195"/>
      <x:c r="C320" s="195"/>
      <x:c r="D320" s="195"/>
      <x:c r="E320" s="195"/>
      <x:c r="F320" s="196"/>
      <x:c r="G320" s="195"/>
      <x:c r="H320" s="195"/>
      <x:c r="I320" s="96" t="str">
        <x:f>IF($B320="","",IF(COUNTIF(Account_Map!$A$6:$A$31,$B320)&gt;0,"Mapped","UNMAPPED"))</x:f>
      </x:c>
    </x:row>
    <x:row r="321">
      <x:c r="A321" s="194"/>
      <x:c r="B321" s="195"/>
      <x:c r="C321" s="195"/>
      <x:c r="D321" s="195"/>
      <x:c r="E321" s="195"/>
      <x:c r="F321" s="196"/>
      <x:c r="G321" s="195"/>
      <x:c r="H321" s="195"/>
      <x:c r="I321" s="96" t="str">
        <x:f>IF($B321="","",IF(COUNTIF(Account_Map!$A$6:$A$31,$B321)&gt;0,"Mapped","UNMAPPED"))</x:f>
      </x:c>
    </x:row>
    <x:row r="322">
      <x:c r="A322" s="194"/>
      <x:c r="B322" s="195"/>
      <x:c r="C322" s="195"/>
      <x:c r="D322" s="195"/>
      <x:c r="E322" s="195"/>
      <x:c r="F322" s="196"/>
      <x:c r="G322" s="195"/>
      <x:c r="H322" s="195"/>
      <x:c r="I322" s="96" t="str">
        <x:f>IF($B322="","",IF(COUNTIF(Account_Map!$A$6:$A$31,$B322)&gt;0,"Mapped","UNMAPPED"))</x:f>
      </x:c>
    </x:row>
    <x:row r="323">
      <x:c r="A323" s="194"/>
      <x:c r="B323" s="195"/>
      <x:c r="C323" s="195"/>
      <x:c r="D323" s="195"/>
      <x:c r="E323" s="195"/>
      <x:c r="F323" s="196"/>
      <x:c r="G323" s="195"/>
      <x:c r="H323" s="195"/>
      <x:c r="I323" s="96" t="str">
        <x:f>IF($B323="","",IF(COUNTIF(Account_Map!$A$6:$A$31,$B323)&gt;0,"Mapped","UNMAPPED"))</x:f>
      </x:c>
    </x:row>
    <x:row r="324">
      <x:c r="A324" s="194"/>
      <x:c r="B324" s="195"/>
      <x:c r="C324" s="195"/>
      <x:c r="D324" s="195"/>
      <x:c r="E324" s="195"/>
      <x:c r="F324" s="196"/>
      <x:c r="G324" s="195"/>
      <x:c r="H324" s="195"/>
      <x:c r="I324" s="96" t="str">
        <x:f>IF($B324="","",IF(COUNTIF(Account_Map!$A$6:$A$31,$B324)&gt;0,"Mapped","UNMAPPED"))</x:f>
      </x:c>
    </x:row>
    <x:row r="325">
      <x:c r="A325" s="194"/>
      <x:c r="B325" s="195"/>
      <x:c r="C325" s="195"/>
      <x:c r="D325" s="195"/>
      <x:c r="E325" s="195"/>
      <x:c r="F325" s="196"/>
      <x:c r="G325" s="195"/>
      <x:c r="H325" s="195"/>
      <x:c r="I325" s="96" t="str">
        <x:f>IF($B325="","",IF(COUNTIF(Account_Map!$A$6:$A$31,$B325)&gt;0,"Mapped","UNMAPPED"))</x:f>
      </x:c>
    </x:row>
    <x:row r="326">
      <x:c r="A326" s="194"/>
      <x:c r="B326" s="195"/>
      <x:c r="C326" s="195"/>
      <x:c r="D326" s="195"/>
      <x:c r="E326" s="195"/>
      <x:c r="F326" s="196"/>
      <x:c r="G326" s="195"/>
      <x:c r="H326" s="195"/>
      <x:c r="I326" s="96" t="str">
        <x:f>IF($B326="","",IF(COUNTIF(Account_Map!$A$6:$A$31,$B326)&gt;0,"Mapped","UNMAPPED"))</x:f>
      </x:c>
    </x:row>
    <x:row r="327">
      <x:c r="A327" s="194"/>
      <x:c r="B327" s="195"/>
      <x:c r="C327" s="195"/>
      <x:c r="D327" s="195"/>
      <x:c r="E327" s="195"/>
      <x:c r="F327" s="196"/>
      <x:c r="G327" s="195"/>
      <x:c r="H327" s="195"/>
      <x:c r="I327" s="96" t="str">
        <x:f>IF($B327="","",IF(COUNTIF(Account_Map!$A$6:$A$31,$B327)&gt;0,"Mapped","UNMAPPED"))</x:f>
      </x:c>
    </x:row>
    <x:row r="328">
      <x:c r="A328" s="194"/>
      <x:c r="B328" s="195"/>
      <x:c r="C328" s="195"/>
      <x:c r="D328" s="195"/>
      <x:c r="E328" s="195"/>
      <x:c r="F328" s="196"/>
      <x:c r="G328" s="195"/>
      <x:c r="H328" s="195"/>
      <x:c r="I328" s="96" t="str">
        <x:f>IF($B328="","",IF(COUNTIF(Account_Map!$A$6:$A$31,$B328)&gt;0,"Mapped","UNMAPPED"))</x:f>
      </x:c>
    </x:row>
    <x:row r="329">
      <x:c r="A329" s="194"/>
      <x:c r="B329" s="195"/>
      <x:c r="C329" s="195"/>
      <x:c r="D329" s="195"/>
      <x:c r="E329" s="195"/>
      <x:c r="F329" s="196"/>
      <x:c r="G329" s="195"/>
      <x:c r="H329" s="195"/>
      <x:c r="I329" s="96" t="str">
        <x:f>IF($B329="","",IF(COUNTIF(Account_Map!$A$6:$A$31,$B329)&gt;0,"Mapped","UNMAPPED"))</x:f>
      </x:c>
    </x:row>
    <x:row r="330">
      <x:c r="A330" s="194"/>
      <x:c r="B330" s="195"/>
      <x:c r="C330" s="195"/>
      <x:c r="D330" s="195"/>
      <x:c r="E330" s="195"/>
      <x:c r="F330" s="196"/>
      <x:c r="G330" s="195"/>
      <x:c r="H330" s="195"/>
      <x:c r="I330" s="96" t="str">
        <x:f>IF($B330="","",IF(COUNTIF(Account_Map!$A$6:$A$31,$B330)&gt;0,"Mapped","UNMAPPED"))</x:f>
      </x:c>
    </x:row>
    <x:row r="331">
      <x:c r="A331" s="194"/>
      <x:c r="B331" s="195"/>
      <x:c r="C331" s="195"/>
      <x:c r="D331" s="195"/>
      <x:c r="E331" s="195"/>
      <x:c r="F331" s="196"/>
      <x:c r="G331" s="195"/>
      <x:c r="H331" s="195"/>
      <x:c r="I331" s="96" t="str">
        <x:f>IF($B331="","",IF(COUNTIF(Account_Map!$A$6:$A$31,$B331)&gt;0,"Mapped","UNMAPPED"))</x:f>
      </x:c>
    </x:row>
    <x:row r="332">
      <x:c r="A332" s="194"/>
      <x:c r="B332" s="195"/>
      <x:c r="C332" s="195"/>
      <x:c r="D332" s="195"/>
      <x:c r="E332" s="195"/>
      <x:c r="F332" s="196"/>
      <x:c r="G332" s="195"/>
      <x:c r="H332" s="195"/>
      <x:c r="I332" s="96" t="str">
        <x:f>IF($B332="","",IF(COUNTIF(Account_Map!$A$6:$A$31,$B332)&gt;0,"Mapped","UNMAPPED"))</x:f>
      </x:c>
    </x:row>
    <x:row r="333">
      <x:c r="A333" s="194"/>
      <x:c r="B333" s="195"/>
      <x:c r="C333" s="195"/>
      <x:c r="D333" s="195"/>
      <x:c r="E333" s="195"/>
      <x:c r="F333" s="196"/>
      <x:c r="G333" s="195"/>
      <x:c r="H333" s="195"/>
      <x:c r="I333" s="96" t="str">
        <x:f>IF($B333="","",IF(COUNTIF(Account_Map!$A$6:$A$31,$B333)&gt;0,"Mapped","UNMAPPED"))</x:f>
      </x:c>
    </x:row>
    <x:row r="334">
      <x:c r="A334" s="194"/>
      <x:c r="B334" s="195"/>
      <x:c r="C334" s="195"/>
      <x:c r="D334" s="195"/>
      <x:c r="E334" s="195"/>
      <x:c r="F334" s="196"/>
      <x:c r="G334" s="195"/>
      <x:c r="H334" s="195"/>
      <x:c r="I334" s="96" t="str">
        <x:f>IF($B334="","",IF(COUNTIF(Account_Map!$A$6:$A$31,$B334)&gt;0,"Mapped","UNMAPPED"))</x:f>
      </x:c>
    </x:row>
    <x:row r="335">
      <x:c r="A335" s="194"/>
      <x:c r="B335" s="195"/>
      <x:c r="C335" s="195"/>
      <x:c r="D335" s="195"/>
      <x:c r="E335" s="195"/>
      <x:c r="F335" s="196"/>
      <x:c r="G335" s="195"/>
      <x:c r="H335" s="195"/>
      <x:c r="I335" s="96" t="str">
        <x:f>IF($B335="","",IF(COUNTIF(Account_Map!$A$6:$A$31,$B335)&gt;0,"Mapped","UNMAPPED"))</x:f>
      </x:c>
    </x:row>
    <x:row r="336">
      <x:c r="A336" s="194"/>
      <x:c r="B336" s="195"/>
      <x:c r="C336" s="195"/>
      <x:c r="D336" s="195"/>
      <x:c r="E336" s="195"/>
      <x:c r="F336" s="196"/>
      <x:c r="G336" s="195"/>
      <x:c r="H336" s="195"/>
      <x:c r="I336" s="96" t="str">
        <x:f>IF($B336="","",IF(COUNTIF(Account_Map!$A$6:$A$31,$B336)&gt;0,"Mapped","UNMAPPED"))</x:f>
      </x:c>
    </x:row>
    <x:row r="337">
      <x:c r="A337" s="194"/>
      <x:c r="B337" s="195"/>
      <x:c r="C337" s="195"/>
      <x:c r="D337" s="195"/>
      <x:c r="E337" s="195"/>
      <x:c r="F337" s="196"/>
      <x:c r="G337" s="195"/>
      <x:c r="H337" s="195"/>
      <x:c r="I337" s="96" t="str">
        <x:f>IF($B337="","",IF(COUNTIF(Account_Map!$A$6:$A$31,$B337)&gt;0,"Mapped","UNMAPPED"))</x:f>
      </x:c>
    </x:row>
    <x:row r="338">
      <x:c r="A338" s="194"/>
      <x:c r="B338" s="195"/>
      <x:c r="C338" s="195"/>
      <x:c r="D338" s="195"/>
      <x:c r="E338" s="195"/>
      <x:c r="F338" s="196"/>
      <x:c r="G338" s="195"/>
      <x:c r="H338" s="195"/>
      <x:c r="I338" s="96" t="str">
        <x:f>IF($B338="","",IF(COUNTIF(Account_Map!$A$6:$A$31,$B338)&gt;0,"Mapped","UNMAPPED"))</x:f>
      </x:c>
    </x:row>
    <x:row r="339">
      <x:c r="A339" s="194"/>
      <x:c r="B339" s="195"/>
      <x:c r="C339" s="195"/>
      <x:c r="D339" s="195"/>
      <x:c r="E339" s="195"/>
      <x:c r="F339" s="196"/>
      <x:c r="G339" s="195"/>
      <x:c r="H339" s="195"/>
      <x:c r="I339" s="96" t="str">
        <x:f>IF($B339="","",IF(COUNTIF(Account_Map!$A$6:$A$31,$B339)&gt;0,"Mapped","UNMAPPED"))</x:f>
      </x:c>
    </x:row>
    <x:row r="340">
      <x:c r="A340" s="194"/>
      <x:c r="B340" s="195"/>
      <x:c r="C340" s="195"/>
      <x:c r="D340" s="195"/>
      <x:c r="E340" s="195"/>
      <x:c r="F340" s="196"/>
      <x:c r="G340" s="195"/>
      <x:c r="H340" s="195"/>
      <x:c r="I340" s="96" t="str">
        <x:f>IF($B340="","",IF(COUNTIF(Account_Map!$A$6:$A$31,$B340)&gt;0,"Mapped","UNMAPPED"))</x:f>
      </x:c>
    </x:row>
    <x:row r="341">
      <x:c r="A341" s="194"/>
      <x:c r="B341" s="195"/>
      <x:c r="C341" s="195"/>
      <x:c r="D341" s="195"/>
      <x:c r="E341" s="195"/>
      <x:c r="F341" s="196"/>
      <x:c r="G341" s="195"/>
      <x:c r="H341" s="195"/>
      <x:c r="I341" s="96" t="str">
        <x:f>IF($B341="","",IF(COUNTIF(Account_Map!$A$6:$A$31,$B341)&gt;0,"Mapped","UNMAPPED"))</x:f>
      </x:c>
    </x:row>
    <x:row r="342">
      <x:c r="A342" s="194"/>
      <x:c r="B342" s="195"/>
      <x:c r="C342" s="195"/>
      <x:c r="D342" s="195"/>
      <x:c r="E342" s="195"/>
      <x:c r="F342" s="196"/>
      <x:c r="G342" s="195"/>
      <x:c r="H342" s="195"/>
      <x:c r="I342" s="96" t="str">
        <x:f>IF($B342="","",IF(COUNTIF(Account_Map!$A$6:$A$31,$B342)&gt;0,"Mapped","UNMAPPED"))</x:f>
      </x:c>
    </x:row>
    <x:row r="343">
      <x:c r="A343" s="194"/>
      <x:c r="B343" s="195"/>
      <x:c r="C343" s="195"/>
      <x:c r="D343" s="195"/>
      <x:c r="E343" s="195"/>
      <x:c r="F343" s="196"/>
      <x:c r="G343" s="195"/>
      <x:c r="H343" s="195"/>
      <x:c r="I343" s="96" t="str">
        <x:f>IF($B343="","",IF(COUNTIF(Account_Map!$A$6:$A$31,$B343)&gt;0,"Mapped","UNMAPPED"))</x:f>
      </x:c>
    </x:row>
    <x:row r="344">
      <x:c r="A344" s="194"/>
      <x:c r="B344" s="195"/>
      <x:c r="C344" s="195"/>
      <x:c r="D344" s="195"/>
      <x:c r="E344" s="195"/>
      <x:c r="F344" s="196"/>
      <x:c r="G344" s="195"/>
      <x:c r="H344" s="195"/>
      <x:c r="I344" s="96" t="str">
        <x:f>IF($B344="","",IF(COUNTIF(Account_Map!$A$6:$A$31,$B344)&gt;0,"Mapped","UNMAPPED"))</x:f>
      </x:c>
    </x:row>
    <x:row r="345">
      <x:c r="A345" s="194"/>
      <x:c r="B345" s="195"/>
      <x:c r="C345" s="195"/>
      <x:c r="D345" s="195"/>
      <x:c r="E345" s="195"/>
      <x:c r="F345" s="196"/>
      <x:c r="G345" s="195"/>
      <x:c r="H345" s="195"/>
      <x:c r="I345" s="96" t="str">
        <x:f>IF($B345="","",IF(COUNTIF(Account_Map!$A$6:$A$31,$B345)&gt;0,"Mapped","UNMAPPED"))</x:f>
      </x:c>
    </x:row>
    <x:row r="346">
      <x:c r="A346" s="194"/>
      <x:c r="B346" s="195"/>
      <x:c r="C346" s="195"/>
      <x:c r="D346" s="195"/>
      <x:c r="E346" s="195"/>
      <x:c r="F346" s="196"/>
      <x:c r="G346" s="195"/>
      <x:c r="H346" s="195"/>
      <x:c r="I346" s="96" t="str">
        <x:f>IF($B346="","",IF(COUNTIF(Account_Map!$A$6:$A$31,$B346)&gt;0,"Mapped","UNMAPPED"))</x:f>
      </x:c>
    </x:row>
    <x:row r="347">
      <x:c r="A347" s="194"/>
      <x:c r="B347" s="195"/>
      <x:c r="C347" s="195"/>
      <x:c r="D347" s="195"/>
      <x:c r="E347" s="195"/>
      <x:c r="F347" s="196"/>
      <x:c r="G347" s="195"/>
      <x:c r="H347" s="195"/>
      <x:c r="I347" s="96" t="str">
        <x:f>IF($B347="","",IF(COUNTIF(Account_Map!$A$6:$A$31,$B347)&gt;0,"Mapped","UNMAPPED"))</x:f>
      </x:c>
    </x:row>
    <x:row r="348">
      <x:c r="A348" s="194"/>
      <x:c r="B348" s="195"/>
      <x:c r="C348" s="195"/>
      <x:c r="D348" s="195"/>
      <x:c r="E348" s="195"/>
      <x:c r="F348" s="196"/>
      <x:c r="G348" s="195"/>
      <x:c r="H348" s="195"/>
      <x:c r="I348" s="96" t="str">
        <x:f>IF($B348="","",IF(COUNTIF(Account_Map!$A$6:$A$31,$B348)&gt;0,"Mapped","UNMAPPED"))</x:f>
      </x:c>
    </x:row>
    <x:row r="349">
      <x:c r="A349" s="194"/>
      <x:c r="B349" s="195"/>
      <x:c r="C349" s="195"/>
      <x:c r="D349" s="195"/>
      <x:c r="E349" s="195"/>
      <x:c r="F349" s="196"/>
      <x:c r="G349" s="195"/>
      <x:c r="H349" s="195"/>
      <x:c r="I349" s="96" t="str">
        <x:f>IF($B349="","",IF(COUNTIF(Account_Map!$A$6:$A$31,$B349)&gt;0,"Mapped","UNMAPPED"))</x:f>
      </x:c>
    </x:row>
    <x:row r="350">
      <x:c r="A350" s="194"/>
      <x:c r="B350" s="195"/>
      <x:c r="C350" s="195"/>
      <x:c r="D350" s="195"/>
      <x:c r="E350" s="195"/>
      <x:c r="F350" s="196"/>
      <x:c r="G350" s="195"/>
      <x:c r="H350" s="195"/>
      <x:c r="I350" s="96" t="str">
        <x:f>IF($B350="","",IF(COUNTIF(Account_Map!$A$6:$A$31,$B350)&gt;0,"Mapped","UNMAPPED"))</x:f>
      </x:c>
    </x:row>
    <x:row r="351">
      <x:c r="A351" s="194"/>
      <x:c r="B351" s="195"/>
      <x:c r="C351" s="195"/>
      <x:c r="D351" s="195"/>
      <x:c r="E351" s="195"/>
      <x:c r="F351" s="196"/>
      <x:c r="G351" s="195"/>
      <x:c r="H351" s="195"/>
      <x:c r="I351" s="96" t="str">
        <x:f>IF($B351="","",IF(COUNTIF(Account_Map!$A$6:$A$31,$B351)&gt;0,"Mapped","UNMAPPED"))</x:f>
      </x:c>
    </x:row>
    <x:row r="352">
      <x:c r="A352" s="194"/>
      <x:c r="B352" s="195"/>
      <x:c r="C352" s="195"/>
      <x:c r="D352" s="195"/>
      <x:c r="E352" s="195"/>
      <x:c r="F352" s="196"/>
      <x:c r="G352" s="195"/>
      <x:c r="H352" s="195"/>
      <x:c r="I352" s="96" t="str">
        <x:f>IF($B352="","",IF(COUNTIF(Account_Map!$A$6:$A$31,$B352)&gt;0,"Mapped","UNMAPPED"))</x:f>
      </x:c>
    </x:row>
    <x:row r="353">
      <x:c r="A353" s="194"/>
      <x:c r="B353" s="195"/>
      <x:c r="C353" s="195"/>
      <x:c r="D353" s="195"/>
      <x:c r="E353" s="195"/>
      <x:c r="F353" s="196"/>
      <x:c r="G353" s="195"/>
      <x:c r="H353" s="195"/>
      <x:c r="I353" s="96" t="str">
        <x:f>IF($B353="","",IF(COUNTIF(Account_Map!$A$6:$A$31,$B353)&gt;0,"Mapped","UNMAPPED"))</x:f>
      </x:c>
    </x:row>
    <x:row r="354">
      <x:c r="A354" s="194"/>
      <x:c r="B354" s="195"/>
      <x:c r="C354" s="195"/>
      <x:c r="D354" s="195"/>
      <x:c r="E354" s="195"/>
      <x:c r="F354" s="196"/>
      <x:c r="G354" s="195"/>
      <x:c r="H354" s="195"/>
      <x:c r="I354" s="96" t="str">
        <x:f>IF($B354="","",IF(COUNTIF(Account_Map!$A$6:$A$31,$B354)&gt;0,"Mapped","UNMAPPED"))</x:f>
      </x:c>
    </x:row>
    <x:row r="355">
      <x:c r="A355" s="194"/>
      <x:c r="B355" s="195"/>
      <x:c r="C355" s="195"/>
      <x:c r="D355" s="195"/>
      <x:c r="E355" s="195"/>
      <x:c r="F355" s="196"/>
      <x:c r="G355" s="195"/>
      <x:c r="H355" s="195"/>
      <x:c r="I355" s="96" t="str">
        <x:f>IF($B355="","",IF(COUNTIF(Account_Map!$A$6:$A$31,$B355)&gt;0,"Mapped","UNMAPPED"))</x:f>
      </x:c>
    </x:row>
    <x:row r="356">
      <x:c r="A356" s="194"/>
      <x:c r="B356" s="195"/>
      <x:c r="C356" s="195"/>
      <x:c r="D356" s="195"/>
      <x:c r="E356" s="195"/>
      <x:c r="F356" s="196"/>
      <x:c r="G356" s="195"/>
      <x:c r="H356" s="195"/>
      <x:c r="I356" s="96" t="str">
        <x:f>IF($B356="","",IF(COUNTIF(Account_Map!$A$6:$A$31,$B356)&gt;0,"Mapped","UNMAPPED"))</x:f>
      </x:c>
    </x:row>
    <x:row r="357">
      <x:c r="A357" s="194"/>
      <x:c r="B357" s="195"/>
      <x:c r="C357" s="195"/>
      <x:c r="D357" s="195"/>
      <x:c r="E357" s="195"/>
      <x:c r="F357" s="196"/>
      <x:c r="G357" s="195"/>
      <x:c r="H357" s="195"/>
      <x:c r="I357" s="96" t="str">
        <x:f>IF($B357="","",IF(COUNTIF(Account_Map!$A$6:$A$31,$B357)&gt;0,"Mapped","UNMAPPED"))</x:f>
      </x:c>
    </x:row>
    <x:row r="358">
      <x:c r="A358" s="194"/>
      <x:c r="B358" s="195"/>
      <x:c r="C358" s="195"/>
      <x:c r="D358" s="195"/>
      <x:c r="E358" s="195"/>
      <x:c r="F358" s="196"/>
      <x:c r="G358" s="195"/>
      <x:c r="H358" s="195"/>
      <x:c r="I358" s="96" t="str">
        <x:f>IF($B358="","",IF(COUNTIF(Account_Map!$A$6:$A$31,$B358)&gt;0,"Mapped","UNMAPPED"))</x:f>
      </x:c>
    </x:row>
    <x:row r="359">
      <x:c r="A359" s="194"/>
      <x:c r="B359" s="195"/>
      <x:c r="C359" s="195"/>
      <x:c r="D359" s="195"/>
      <x:c r="E359" s="195"/>
      <x:c r="F359" s="196"/>
      <x:c r="G359" s="195"/>
      <x:c r="H359" s="195"/>
      <x:c r="I359" s="96" t="str">
        <x:f>IF($B359="","",IF(COUNTIF(Account_Map!$A$6:$A$31,$B359)&gt;0,"Mapped","UNMAPPED"))</x:f>
      </x:c>
    </x:row>
    <x:row r="360">
      <x:c r="A360" s="194"/>
      <x:c r="B360" s="195"/>
      <x:c r="C360" s="195"/>
      <x:c r="D360" s="195"/>
      <x:c r="E360" s="195"/>
      <x:c r="F360" s="196"/>
      <x:c r="G360" s="195"/>
      <x:c r="H360" s="195"/>
      <x:c r="I360" s="96" t="str">
        <x:f>IF($B360="","",IF(COUNTIF(Account_Map!$A$6:$A$31,$B360)&gt;0,"Mapped","UNMAPPED"))</x:f>
      </x:c>
    </x:row>
    <x:row r="361">
      <x:c r="A361" s="194"/>
      <x:c r="B361" s="195"/>
      <x:c r="C361" s="195"/>
      <x:c r="D361" s="195"/>
      <x:c r="E361" s="195"/>
      <x:c r="F361" s="196"/>
      <x:c r="G361" s="195"/>
      <x:c r="H361" s="195"/>
      <x:c r="I361" s="96" t="str">
        <x:f>IF($B361="","",IF(COUNTIF(Account_Map!$A$6:$A$31,$B361)&gt;0,"Mapped","UNMAPPED"))</x:f>
      </x:c>
    </x:row>
    <x:row r="362">
      <x:c r="A362" s="194"/>
      <x:c r="B362" s="195"/>
      <x:c r="C362" s="195"/>
      <x:c r="D362" s="195"/>
      <x:c r="E362" s="195"/>
      <x:c r="F362" s="196"/>
      <x:c r="G362" s="195"/>
      <x:c r="H362" s="195"/>
      <x:c r="I362" s="96" t="str">
        <x:f>IF($B362="","",IF(COUNTIF(Account_Map!$A$6:$A$31,$B362)&gt;0,"Mapped","UNMAPPED"))</x:f>
      </x:c>
    </x:row>
    <x:row r="363">
      <x:c r="A363" s="194"/>
      <x:c r="B363" s="195"/>
      <x:c r="C363" s="195"/>
      <x:c r="D363" s="195"/>
      <x:c r="E363" s="195"/>
      <x:c r="F363" s="196"/>
      <x:c r="G363" s="195"/>
      <x:c r="H363" s="195"/>
      <x:c r="I363" s="96" t="str">
        <x:f>IF($B363="","",IF(COUNTIF(Account_Map!$A$6:$A$31,$B363)&gt;0,"Mapped","UNMAPPED"))</x:f>
      </x:c>
    </x:row>
    <x:row r="364">
      <x:c r="A364" s="194"/>
      <x:c r="B364" s="195"/>
      <x:c r="C364" s="195"/>
      <x:c r="D364" s="195"/>
      <x:c r="E364" s="195"/>
      <x:c r="F364" s="196"/>
      <x:c r="G364" s="195"/>
      <x:c r="H364" s="195"/>
      <x:c r="I364" s="96" t="str">
        <x:f>IF($B364="","",IF(COUNTIF(Account_Map!$A$6:$A$31,$B364)&gt;0,"Mapped","UNMAPPED"))</x:f>
      </x:c>
    </x:row>
    <x:row r="365">
      <x:c r="A365" s="194"/>
      <x:c r="B365" s="195"/>
      <x:c r="C365" s="195"/>
      <x:c r="D365" s="195"/>
      <x:c r="E365" s="195"/>
      <x:c r="F365" s="196"/>
      <x:c r="G365" s="195"/>
      <x:c r="H365" s="195"/>
      <x:c r="I365" s="96" t="str">
        <x:f>IF($B365="","",IF(COUNTIF(Account_Map!$A$6:$A$31,$B365)&gt;0,"Mapped","UNMAPPED"))</x:f>
      </x:c>
    </x:row>
    <x:row r="366">
      <x:c r="A366" s="194"/>
      <x:c r="B366" s="195"/>
      <x:c r="C366" s="195"/>
      <x:c r="D366" s="195"/>
      <x:c r="E366" s="195"/>
      <x:c r="F366" s="196"/>
      <x:c r="G366" s="195"/>
      <x:c r="H366" s="195"/>
      <x:c r="I366" s="96" t="str">
        <x:f>IF($B366="","",IF(COUNTIF(Account_Map!$A$6:$A$31,$B366)&gt;0,"Mapped","UNMAPPED"))</x:f>
      </x:c>
    </x:row>
    <x:row r="367">
      <x:c r="A367" s="194"/>
      <x:c r="B367" s="195"/>
      <x:c r="C367" s="195"/>
      <x:c r="D367" s="195"/>
      <x:c r="E367" s="195"/>
      <x:c r="F367" s="196"/>
      <x:c r="G367" s="195"/>
      <x:c r="H367" s="195"/>
      <x:c r="I367" s="96" t="str">
        <x:f>IF($B367="","",IF(COUNTIF(Account_Map!$A$6:$A$31,$B367)&gt;0,"Mapped","UNMAPPED"))</x:f>
      </x:c>
    </x:row>
    <x:row r="368">
      <x:c r="A368" s="194"/>
      <x:c r="B368" s="195"/>
      <x:c r="C368" s="195"/>
      <x:c r="D368" s="195"/>
      <x:c r="E368" s="195"/>
      <x:c r="F368" s="196"/>
      <x:c r="G368" s="195"/>
      <x:c r="H368" s="195"/>
      <x:c r="I368" s="96" t="str">
        <x:f>IF($B368="","",IF(COUNTIF(Account_Map!$A$6:$A$31,$B368)&gt;0,"Mapped","UNMAPPED"))</x:f>
      </x:c>
    </x:row>
    <x:row r="369">
      <x:c r="A369" s="194"/>
      <x:c r="B369" s="195"/>
      <x:c r="C369" s="195"/>
      <x:c r="D369" s="195"/>
      <x:c r="E369" s="195"/>
      <x:c r="F369" s="196"/>
      <x:c r="G369" s="195"/>
      <x:c r="H369" s="195"/>
      <x:c r="I369" s="96" t="str">
        <x:f>IF($B369="","",IF(COUNTIF(Account_Map!$A$6:$A$31,$B369)&gt;0,"Mapped","UNMAPPED"))</x:f>
      </x:c>
    </x:row>
    <x:row r="370">
      <x:c r="A370" s="194"/>
      <x:c r="B370" s="195"/>
      <x:c r="C370" s="195"/>
      <x:c r="D370" s="195"/>
      <x:c r="E370" s="195"/>
      <x:c r="F370" s="196"/>
      <x:c r="G370" s="195"/>
      <x:c r="H370" s="195"/>
      <x:c r="I370" s="96" t="str">
        <x:f>IF($B370="","",IF(COUNTIF(Account_Map!$A$6:$A$31,$B370)&gt;0,"Mapped","UNMAPPED"))</x:f>
      </x:c>
    </x:row>
    <x:row r="371">
      <x:c r="A371" s="194"/>
      <x:c r="B371" s="195"/>
      <x:c r="C371" s="195"/>
      <x:c r="D371" s="195"/>
      <x:c r="E371" s="195"/>
      <x:c r="F371" s="196"/>
      <x:c r="G371" s="195"/>
      <x:c r="H371" s="195"/>
      <x:c r="I371" s="96" t="str">
        <x:f>IF($B371="","",IF(COUNTIF(Account_Map!$A$6:$A$31,$B371)&gt;0,"Mapped","UNMAPPED"))</x:f>
      </x:c>
    </x:row>
    <x:row r="372">
      <x:c r="A372" s="194"/>
      <x:c r="B372" s="195"/>
      <x:c r="C372" s="195"/>
      <x:c r="D372" s="195"/>
      <x:c r="E372" s="195"/>
      <x:c r="F372" s="196"/>
      <x:c r="G372" s="195"/>
      <x:c r="H372" s="195"/>
      <x:c r="I372" s="96" t="str">
        <x:f>IF($B372="","",IF(COUNTIF(Account_Map!$A$6:$A$31,$B372)&gt;0,"Mapped","UNMAPPED"))</x:f>
      </x:c>
    </x:row>
    <x:row r="373">
      <x:c r="A373" s="194"/>
      <x:c r="B373" s="195"/>
      <x:c r="C373" s="195"/>
      <x:c r="D373" s="195"/>
      <x:c r="E373" s="195"/>
      <x:c r="F373" s="196"/>
      <x:c r="G373" s="195"/>
      <x:c r="H373" s="195"/>
      <x:c r="I373" s="96" t="str">
        <x:f>IF($B373="","",IF(COUNTIF(Account_Map!$A$6:$A$31,$B373)&gt;0,"Mapped","UNMAPPED"))</x:f>
      </x:c>
    </x:row>
    <x:row r="374">
      <x:c r="A374" s="194"/>
      <x:c r="B374" s="195"/>
      <x:c r="C374" s="195"/>
      <x:c r="D374" s="195"/>
      <x:c r="E374" s="195"/>
      <x:c r="F374" s="196"/>
      <x:c r="G374" s="195"/>
      <x:c r="H374" s="195"/>
      <x:c r="I374" s="96" t="str">
        <x:f>IF($B374="","",IF(COUNTIF(Account_Map!$A$6:$A$31,$B374)&gt;0,"Mapped","UNMAPPED"))</x:f>
      </x:c>
    </x:row>
    <x:row r="375">
      <x:c r="A375" s="194"/>
      <x:c r="B375" s="195"/>
      <x:c r="C375" s="195"/>
      <x:c r="D375" s="195"/>
      <x:c r="E375" s="195"/>
      <x:c r="F375" s="196"/>
      <x:c r="G375" s="195"/>
      <x:c r="H375" s="195"/>
      <x:c r="I375" s="96" t="str">
        <x:f>IF($B375="","",IF(COUNTIF(Account_Map!$A$6:$A$31,$B375)&gt;0,"Mapped","UNMAPPED"))</x:f>
      </x:c>
    </x:row>
    <x:row r="376">
      <x:c r="A376" s="194"/>
      <x:c r="B376" s="195"/>
      <x:c r="C376" s="195"/>
      <x:c r="D376" s="195"/>
      <x:c r="E376" s="195"/>
      <x:c r="F376" s="196"/>
      <x:c r="G376" s="195"/>
      <x:c r="H376" s="195"/>
      <x:c r="I376" s="96" t="str">
        <x:f>IF($B376="","",IF(COUNTIF(Account_Map!$A$6:$A$31,$B376)&gt;0,"Mapped","UNMAPPED"))</x:f>
      </x:c>
    </x:row>
    <x:row r="377">
      <x:c r="A377" s="194"/>
      <x:c r="B377" s="195"/>
      <x:c r="C377" s="195"/>
      <x:c r="D377" s="195"/>
      <x:c r="E377" s="195"/>
      <x:c r="F377" s="196"/>
      <x:c r="G377" s="195"/>
      <x:c r="H377" s="195"/>
      <x:c r="I377" s="96" t="str">
        <x:f>IF($B377="","",IF(COUNTIF(Account_Map!$A$6:$A$31,$B377)&gt;0,"Mapped","UNMAPPED"))</x:f>
      </x:c>
    </x:row>
    <x:row r="378">
      <x:c r="A378" s="194"/>
      <x:c r="B378" s="195"/>
      <x:c r="C378" s="195"/>
      <x:c r="D378" s="195"/>
      <x:c r="E378" s="195"/>
      <x:c r="F378" s="196"/>
      <x:c r="G378" s="195"/>
      <x:c r="H378" s="195"/>
      <x:c r="I378" s="96" t="str">
        <x:f>IF($B378="","",IF(COUNTIF(Account_Map!$A$6:$A$31,$B378)&gt;0,"Mapped","UNMAPPED"))</x:f>
      </x:c>
    </x:row>
    <x:row r="379">
      <x:c r="A379" s="194"/>
      <x:c r="B379" s="195"/>
      <x:c r="C379" s="195"/>
      <x:c r="D379" s="195"/>
      <x:c r="E379" s="195"/>
      <x:c r="F379" s="196"/>
      <x:c r="G379" s="195"/>
      <x:c r="H379" s="195"/>
      <x:c r="I379" s="96" t="str">
        <x:f>IF($B379="","",IF(COUNTIF(Account_Map!$A$6:$A$31,$B379)&gt;0,"Mapped","UNMAPPED"))</x:f>
      </x:c>
    </x:row>
    <x:row r="380">
      <x:c r="A380" s="194"/>
      <x:c r="B380" s="195"/>
      <x:c r="C380" s="195"/>
      <x:c r="D380" s="195"/>
      <x:c r="E380" s="195"/>
      <x:c r="F380" s="196"/>
      <x:c r="G380" s="195"/>
      <x:c r="H380" s="195"/>
      <x:c r="I380" s="96" t="str">
        <x:f>IF($B380="","",IF(COUNTIF(Account_Map!$A$6:$A$31,$B380)&gt;0,"Mapped","UNMAPPED"))</x:f>
      </x:c>
    </x:row>
    <x:row r="381">
      <x:c r="A381" s="194"/>
      <x:c r="B381" s="195"/>
      <x:c r="C381" s="195"/>
      <x:c r="D381" s="195"/>
      <x:c r="E381" s="195"/>
      <x:c r="F381" s="196"/>
      <x:c r="G381" s="195"/>
      <x:c r="H381" s="195"/>
      <x:c r="I381" s="96" t="str">
        <x:f>IF($B381="","",IF(COUNTIF(Account_Map!$A$6:$A$31,$B381)&gt;0,"Mapped","UNMAPPED"))</x:f>
      </x:c>
    </x:row>
    <x:row r="382">
      <x:c r="A382" s="194"/>
      <x:c r="B382" s="195"/>
      <x:c r="C382" s="195"/>
      <x:c r="D382" s="195"/>
      <x:c r="E382" s="195"/>
      <x:c r="F382" s="196"/>
      <x:c r="G382" s="195"/>
      <x:c r="H382" s="195"/>
      <x:c r="I382" s="96" t="str">
        <x:f>IF($B382="","",IF(COUNTIF(Account_Map!$A$6:$A$31,$B382)&gt;0,"Mapped","UNMAPPED"))</x:f>
      </x:c>
    </x:row>
    <x:row r="383">
      <x:c r="A383" s="194"/>
      <x:c r="B383" s="195"/>
      <x:c r="C383" s="195"/>
      <x:c r="D383" s="195"/>
      <x:c r="E383" s="195"/>
      <x:c r="F383" s="196"/>
      <x:c r="G383" s="195"/>
      <x:c r="H383" s="195"/>
      <x:c r="I383" s="96" t="str">
        <x:f>IF($B383="","",IF(COUNTIF(Account_Map!$A$6:$A$31,$B383)&gt;0,"Mapped","UNMAPPED"))</x:f>
      </x:c>
    </x:row>
    <x:row r="384">
      <x:c r="A384" s="194"/>
      <x:c r="B384" s="195"/>
      <x:c r="C384" s="195"/>
      <x:c r="D384" s="195"/>
      <x:c r="E384" s="195"/>
      <x:c r="F384" s="196"/>
      <x:c r="G384" s="195"/>
      <x:c r="H384" s="195"/>
      <x:c r="I384" s="96" t="str">
        <x:f>IF($B384="","",IF(COUNTIF(Account_Map!$A$6:$A$31,$B384)&gt;0,"Mapped","UNMAPPED"))</x:f>
      </x:c>
    </x:row>
    <x:row r="385">
      <x:c r="A385" s="194"/>
      <x:c r="B385" s="195"/>
      <x:c r="C385" s="195"/>
      <x:c r="D385" s="195"/>
      <x:c r="E385" s="195"/>
      <x:c r="F385" s="196"/>
      <x:c r="G385" s="195"/>
      <x:c r="H385" s="195"/>
      <x:c r="I385" s="96" t="str">
        <x:f>IF($B385="","",IF(COUNTIF(Account_Map!$A$6:$A$31,$B385)&gt;0,"Mapped","UNMAPPED"))</x:f>
      </x:c>
    </x:row>
    <x:row r="386">
      <x:c r="A386" s="194"/>
      <x:c r="B386" s="195"/>
      <x:c r="C386" s="195"/>
      <x:c r="D386" s="195"/>
      <x:c r="E386" s="195"/>
      <x:c r="F386" s="196"/>
      <x:c r="G386" s="195"/>
      <x:c r="H386" s="195"/>
      <x:c r="I386" s="96" t="str">
        <x:f>IF($B386="","",IF(COUNTIF(Account_Map!$A$6:$A$31,$B386)&gt;0,"Mapped","UNMAPPED"))</x:f>
      </x:c>
    </x:row>
    <x:row r="387">
      <x:c r="A387" s="194"/>
      <x:c r="B387" s="195"/>
      <x:c r="C387" s="195"/>
      <x:c r="D387" s="195"/>
      <x:c r="E387" s="195"/>
      <x:c r="F387" s="196"/>
      <x:c r="G387" s="195"/>
      <x:c r="H387" s="195"/>
      <x:c r="I387" s="96" t="str">
        <x:f>IF($B387="","",IF(COUNTIF(Account_Map!$A$6:$A$31,$B387)&gt;0,"Mapped","UNMAPPED"))</x:f>
      </x:c>
    </x:row>
    <x:row r="388">
      <x:c r="A388" s="194"/>
      <x:c r="B388" s="195"/>
      <x:c r="C388" s="195"/>
      <x:c r="D388" s="195"/>
      <x:c r="E388" s="195"/>
      <x:c r="F388" s="196"/>
      <x:c r="G388" s="195"/>
      <x:c r="H388" s="195"/>
      <x:c r="I388" s="96" t="str">
        <x:f>IF($B388="","",IF(COUNTIF(Account_Map!$A$6:$A$31,$B388)&gt;0,"Mapped","UNMAPPED"))</x:f>
      </x:c>
    </x:row>
    <x:row r="389">
      <x:c r="A389" s="194"/>
      <x:c r="B389" s="195"/>
      <x:c r="C389" s="195"/>
      <x:c r="D389" s="195"/>
      <x:c r="E389" s="195"/>
      <x:c r="F389" s="196"/>
      <x:c r="G389" s="195"/>
      <x:c r="H389" s="195"/>
      <x:c r="I389" s="96" t="str">
        <x:f>IF($B389="","",IF(COUNTIF(Account_Map!$A$6:$A$31,$B389)&gt;0,"Mapped","UNMAPPED"))</x:f>
      </x:c>
    </x:row>
    <x:row r="390">
      <x:c r="A390" s="194"/>
      <x:c r="B390" s="195"/>
      <x:c r="C390" s="195"/>
      <x:c r="D390" s="195"/>
      <x:c r="E390" s="195"/>
      <x:c r="F390" s="196"/>
      <x:c r="G390" s="195"/>
      <x:c r="H390" s="195"/>
      <x:c r="I390" s="96" t="str">
        <x:f>IF($B390="","",IF(COUNTIF(Account_Map!$A$6:$A$31,$B390)&gt;0,"Mapped","UNMAPPED"))</x:f>
      </x:c>
    </x:row>
    <x:row r="391">
      <x:c r="A391" s="194"/>
      <x:c r="B391" s="195"/>
      <x:c r="C391" s="195"/>
      <x:c r="D391" s="195"/>
      <x:c r="E391" s="195"/>
      <x:c r="F391" s="196"/>
      <x:c r="G391" s="195"/>
      <x:c r="H391" s="195"/>
      <x:c r="I391" s="96" t="str">
        <x:f>IF($B391="","",IF(COUNTIF(Account_Map!$A$6:$A$31,$B391)&gt;0,"Mapped","UNMAPPED"))</x:f>
      </x:c>
    </x:row>
    <x:row r="392">
      <x:c r="A392" s="194"/>
      <x:c r="B392" s="195"/>
      <x:c r="C392" s="195"/>
      <x:c r="D392" s="195"/>
      <x:c r="E392" s="195"/>
      <x:c r="F392" s="196"/>
      <x:c r="G392" s="195"/>
      <x:c r="H392" s="195"/>
      <x:c r="I392" s="96" t="str">
        <x:f>IF($B392="","",IF(COUNTIF(Account_Map!$A$6:$A$31,$B392)&gt;0,"Mapped","UNMAPPED"))</x:f>
      </x:c>
    </x:row>
    <x:row r="393">
      <x:c r="A393" s="194"/>
      <x:c r="B393" s="195"/>
      <x:c r="C393" s="195"/>
      <x:c r="D393" s="195"/>
      <x:c r="E393" s="195"/>
      <x:c r="F393" s="196"/>
      <x:c r="G393" s="195"/>
      <x:c r="H393" s="195"/>
      <x:c r="I393" s="96" t="str">
        <x:f>IF($B393="","",IF(COUNTIF(Account_Map!$A$6:$A$31,$B393)&gt;0,"Mapped","UNMAPPED"))</x:f>
      </x:c>
    </x:row>
    <x:row r="394">
      <x:c r="A394" s="194"/>
      <x:c r="B394" s="195"/>
      <x:c r="C394" s="195"/>
      <x:c r="D394" s="195"/>
      <x:c r="E394" s="195"/>
      <x:c r="F394" s="196"/>
      <x:c r="G394" s="195"/>
      <x:c r="H394" s="195"/>
      <x:c r="I394" s="96" t="str">
        <x:f>IF($B394="","",IF(COUNTIF(Account_Map!$A$6:$A$31,$B394)&gt;0,"Mapped","UNMAPPED"))</x:f>
      </x:c>
    </x:row>
    <x:row r="395">
      <x:c r="A395" s="194"/>
      <x:c r="B395" s="195"/>
      <x:c r="C395" s="195"/>
      <x:c r="D395" s="195"/>
      <x:c r="E395" s="195"/>
      <x:c r="F395" s="196"/>
      <x:c r="G395" s="195"/>
      <x:c r="H395" s="195"/>
      <x:c r="I395" s="96" t="str">
        <x:f>IF($B395="","",IF(COUNTIF(Account_Map!$A$6:$A$31,$B395)&gt;0,"Mapped","UNMAPPED"))</x:f>
      </x:c>
    </x:row>
    <x:row r="396">
      <x:c r="A396" s="194"/>
      <x:c r="B396" s="195"/>
      <x:c r="C396" s="195"/>
      <x:c r="D396" s="195"/>
      <x:c r="E396" s="195"/>
      <x:c r="F396" s="196"/>
      <x:c r="G396" s="195"/>
      <x:c r="H396" s="195"/>
      <x:c r="I396" s="96" t="str">
        <x:f>IF($B396="","",IF(COUNTIF(Account_Map!$A$6:$A$31,$B396)&gt;0,"Mapped","UNMAPPED"))</x:f>
      </x:c>
    </x:row>
    <x:row r="397">
      <x:c r="A397" s="194"/>
      <x:c r="B397" s="195"/>
      <x:c r="C397" s="195"/>
      <x:c r="D397" s="195"/>
      <x:c r="E397" s="195"/>
      <x:c r="F397" s="196"/>
      <x:c r="G397" s="195"/>
      <x:c r="H397" s="195"/>
      <x:c r="I397" s="96" t="str">
        <x:f>IF($B397="","",IF(COUNTIF(Account_Map!$A$6:$A$31,$B397)&gt;0,"Mapped","UNMAPPED"))</x:f>
      </x:c>
    </x:row>
    <x:row r="398">
      <x:c r="A398" s="194"/>
      <x:c r="B398" s="195"/>
      <x:c r="C398" s="195"/>
      <x:c r="D398" s="195"/>
      <x:c r="E398" s="195"/>
      <x:c r="F398" s="196"/>
      <x:c r="G398" s="195"/>
      <x:c r="H398" s="195"/>
      <x:c r="I398" s="96" t="str">
        <x:f>IF($B398="","",IF(COUNTIF(Account_Map!$A$6:$A$31,$B398)&gt;0,"Mapped","UNMAPPED"))</x:f>
      </x:c>
    </x:row>
    <x:row r="399">
      <x:c r="A399" s="194"/>
      <x:c r="B399" s="195"/>
      <x:c r="C399" s="195"/>
      <x:c r="D399" s="195"/>
      <x:c r="E399" s="195"/>
      <x:c r="F399" s="196"/>
      <x:c r="G399" s="195"/>
      <x:c r="H399" s="195"/>
      <x:c r="I399" s="96" t="str">
        <x:f>IF($B399="","",IF(COUNTIF(Account_Map!$A$6:$A$31,$B399)&gt;0,"Mapped","UNMAPPED"))</x:f>
      </x:c>
    </x:row>
    <x:row r="400">
      <x:c r="A400" s="194"/>
      <x:c r="B400" s="195"/>
      <x:c r="C400" s="195"/>
      <x:c r="D400" s="195"/>
      <x:c r="E400" s="195"/>
      <x:c r="F400" s="196"/>
      <x:c r="G400" s="195"/>
      <x:c r="H400" s="195"/>
      <x:c r="I400" s="96" t="str">
        <x:f>IF($B400="","",IF(COUNTIF(Account_Map!$A$6:$A$31,$B400)&gt;0,"Mapped","UNMAPPED"))</x:f>
      </x:c>
    </x:row>
    <x:row r="401">
      <x:c r="A401" s="194"/>
      <x:c r="B401" s="195"/>
      <x:c r="C401" s="195"/>
      <x:c r="D401" s="195"/>
      <x:c r="E401" s="195"/>
      <x:c r="F401" s="196"/>
      <x:c r="G401" s="195"/>
      <x:c r="H401" s="195"/>
      <x:c r="I401" s="96" t="str">
        <x:f>IF($B401="","",IF(COUNTIF(Account_Map!$A$6:$A$31,$B401)&gt;0,"Mapped","UNMAPPED"))</x:f>
      </x:c>
    </x:row>
    <x:row r="402">
      <x:c r="A402" s="194"/>
      <x:c r="B402" s="195"/>
      <x:c r="C402" s="195"/>
      <x:c r="D402" s="195"/>
      <x:c r="E402" s="195"/>
      <x:c r="F402" s="196"/>
      <x:c r="G402" s="195"/>
      <x:c r="H402" s="195"/>
      <x:c r="I402" s="96" t="str">
        <x:f>IF($B402="","",IF(COUNTIF(Account_Map!$A$6:$A$31,$B402)&gt;0,"Mapped","UNMAPPED"))</x:f>
      </x:c>
    </x:row>
    <x:row r="403">
      <x:c r="A403" s="194"/>
      <x:c r="B403" s="195"/>
      <x:c r="C403" s="195"/>
      <x:c r="D403" s="195"/>
      <x:c r="E403" s="195"/>
      <x:c r="F403" s="196"/>
      <x:c r="G403" s="195"/>
      <x:c r="H403" s="195"/>
      <x:c r="I403" s="96" t="str">
        <x:f>IF($B403="","",IF(COUNTIF(Account_Map!$A$6:$A$31,$B403)&gt;0,"Mapped","UNMAPPED"))</x:f>
      </x:c>
    </x:row>
    <x:row r="404">
      <x:c r="A404" s="194"/>
      <x:c r="B404" s="195"/>
      <x:c r="C404" s="195"/>
      <x:c r="D404" s="195"/>
      <x:c r="E404" s="195"/>
      <x:c r="F404" s="196"/>
      <x:c r="G404" s="195"/>
      <x:c r="H404" s="195"/>
      <x:c r="I404" s="96" t="str">
        <x:f>IF($B404="","",IF(COUNTIF(Account_Map!$A$6:$A$31,$B404)&gt;0,"Mapped","UNMAPPED"))</x:f>
      </x:c>
    </x:row>
    <x:row r="405">
      <x:c r="A405" s="194"/>
      <x:c r="B405" s="195"/>
      <x:c r="C405" s="195"/>
      <x:c r="D405" s="195"/>
      <x:c r="E405" s="195"/>
      <x:c r="F405" s="196"/>
      <x:c r="G405" s="195"/>
      <x:c r="H405" s="195"/>
      <x:c r="I405" s="96" t="str">
        <x:f>IF($B405="","",IF(COUNTIF(Account_Map!$A$6:$A$31,$B405)&gt;0,"Mapped","UNMAPPED"))</x:f>
      </x:c>
    </x:row>
    <x:row r="406">
      <x:c r="A406" s="194"/>
      <x:c r="B406" s="195"/>
      <x:c r="C406" s="195"/>
      <x:c r="D406" s="195"/>
      <x:c r="E406" s="195"/>
      <x:c r="F406" s="196"/>
      <x:c r="G406" s="195"/>
      <x:c r="H406" s="195"/>
      <x:c r="I406" s="96" t="str">
        <x:f>IF($B406="","",IF(COUNTIF(Account_Map!$A$6:$A$31,$B406)&gt;0,"Mapped","UNMAPPED"))</x:f>
      </x:c>
    </x:row>
    <x:row r="407">
      <x:c r="A407" s="194"/>
      <x:c r="B407" s="195"/>
      <x:c r="C407" s="195"/>
      <x:c r="D407" s="195"/>
      <x:c r="E407" s="195"/>
      <x:c r="F407" s="196"/>
      <x:c r="G407" s="195"/>
      <x:c r="H407" s="195"/>
      <x:c r="I407" s="96" t="str">
        <x:f>IF($B407="","",IF(COUNTIF(Account_Map!$A$6:$A$31,$B407)&gt;0,"Mapped","UNMAPPED"))</x:f>
      </x:c>
    </x:row>
    <x:row r="408">
      <x:c r="A408" s="194"/>
      <x:c r="B408" s="195"/>
      <x:c r="C408" s="195"/>
      <x:c r="D408" s="195"/>
      <x:c r="E408" s="195"/>
      <x:c r="F408" s="196"/>
      <x:c r="G408" s="195"/>
      <x:c r="H408" s="195"/>
      <x:c r="I408" s="96" t="str">
        <x:f>IF($B408="","",IF(COUNTIF(Account_Map!$A$6:$A$31,$B408)&gt;0,"Mapped","UNMAPPED"))</x:f>
      </x:c>
    </x:row>
    <x:row r="409">
      <x:c r="A409" s="194"/>
      <x:c r="B409" s="195"/>
      <x:c r="C409" s="195"/>
      <x:c r="D409" s="195"/>
      <x:c r="E409" s="195"/>
      <x:c r="F409" s="196"/>
      <x:c r="G409" s="195"/>
      <x:c r="H409" s="195"/>
      <x:c r="I409" s="96" t="str">
        <x:f>IF($B409="","",IF(COUNTIF(Account_Map!$A$6:$A$31,$B409)&gt;0,"Mapped","UNMAPPED"))</x:f>
      </x:c>
    </x:row>
    <x:row r="410">
      <x:c r="A410" s="194"/>
      <x:c r="B410" s="195"/>
      <x:c r="C410" s="195"/>
      <x:c r="D410" s="195"/>
      <x:c r="E410" s="195"/>
      <x:c r="F410" s="196"/>
      <x:c r="G410" s="195"/>
      <x:c r="H410" s="195"/>
      <x:c r="I410" s="96" t="str">
        <x:f>IF($B410="","",IF(COUNTIF(Account_Map!$A$6:$A$31,$B410)&gt;0,"Mapped","UNMAPPED"))</x:f>
      </x:c>
    </x:row>
    <x:row r="411">
      <x:c r="A411" s="194"/>
      <x:c r="B411" s="195"/>
      <x:c r="C411" s="195"/>
      <x:c r="D411" s="195"/>
      <x:c r="E411" s="195"/>
      <x:c r="F411" s="196"/>
      <x:c r="G411" s="195"/>
      <x:c r="H411" s="195"/>
      <x:c r="I411" s="96" t="str">
        <x:f>IF($B411="","",IF(COUNTIF(Account_Map!$A$6:$A$31,$B411)&gt;0,"Mapped","UNMAPPED"))</x:f>
      </x:c>
    </x:row>
    <x:row r="412">
      <x:c r="A412" s="194"/>
      <x:c r="B412" s="195"/>
      <x:c r="C412" s="195"/>
      <x:c r="D412" s="195"/>
      <x:c r="E412" s="195"/>
      <x:c r="F412" s="196"/>
      <x:c r="G412" s="195"/>
      <x:c r="H412" s="195"/>
      <x:c r="I412" s="96" t="str">
        <x:f>IF($B412="","",IF(COUNTIF(Account_Map!$A$6:$A$31,$B412)&gt;0,"Mapped","UNMAPPED"))</x:f>
      </x:c>
    </x:row>
    <x:row r="413">
      <x:c r="A413" s="194"/>
      <x:c r="B413" s="195"/>
      <x:c r="C413" s="195"/>
      <x:c r="D413" s="195"/>
      <x:c r="E413" s="195"/>
      <x:c r="F413" s="196"/>
      <x:c r="G413" s="195"/>
      <x:c r="H413" s="195"/>
      <x:c r="I413" s="96" t="str">
        <x:f>IF($B413="","",IF(COUNTIF(Account_Map!$A$6:$A$31,$B413)&gt;0,"Mapped","UNMAPPED"))</x:f>
      </x:c>
    </x:row>
    <x:row r="414">
      <x:c r="A414" s="194"/>
      <x:c r="B414" s="195"/>
      <x:c r="C414" s="195"/>
      <x:c r="D414" s="195"/>
      <x:c r="E414" s="195"/>
      <x:c r="F414" s="196"/>
      <x:c r="G414" s="195"/>
      <x:c r="H414" s="195"/>
      <x:c r="I414" s="96" t="str">
        <x:f>IF($B414="","",IF(COUNTIF(Account_Map!$A$6:$A$31,$B414)&gt;0,"Mapped","UNMAPPED"))</x:f>
      </x:c>
    </x:row>
    <x:row r="415">
      <x:c r="A415" s="194"/>
      <x:c r="B415" s="195"/>
      <x:c r="C415" s="195"/>
      <x:c r="D415" s="195"/>
      <x:c r="E415" s="195"/>
      <x:c r="F415" s="196"/>
      <x:c r="G415" s="195"/>
      <x:c r="H415" s="195"/>
      <x:c r="I415" s="96" t="str">
        <x:f>IF($B415="","",IF(COUNTIF(Account_Map!$A$6:$A$31,$B415)&gt;0,"Mapped","UNMAPPED"))</x:f>
      </x:c>
    </x:row>
    <x:row r="416">
      <x:c r="A416" s="194"/>
      <x:c r="B416" s="195"/>
      <x:c r="C416" s="195"/>
      <x:c r="D416" s="195"/>
      <x:c r="E416" s="195"/>
      <x:c r="F416" s="196"/>
      <x:c r="G416" s="195"/>
      <x:c r="H416" s="195"/>
      <x:c r="I416" s="96" t="str">
        <x:f>IF($B416="","",IF(COUNTIF(Account_Map!$A$6:$A$31,$B416)&gt;0,"Mapped","UNMAPPED"))</x:f>
      </x:c>
    </x:row>
    <x:row r="417">
      <x:c r="A417" s="194"/>
      <x:c r="B417" s="195"/>
      <x:c r="C417" s="195"/>
      <x:c r="D417" s="195"/>
      <x:c r="E417" s="195"/>
      <x:c r="F417" s="196"/>
      <x:c r="G417" s="195"/>
      <x:c r="H417" s="195"/>
      <x:c r="I417" s="96" t="str">
        <x:f>IF($B417="","",IF(COUNTIF(Account_Map!$A$6:$A$31,$B417)&gt;0,"Mapped","UNMAPPED"))</x:f>
      </x:c>
    </x:row>
    <x:row r="418">
      <x:c r="A418" s="194"/>
      <x:c r="B418" s="195"/>
      <x:c r="C418" s="195"/>
      <x:c r="D418" s="195"/>
      <x:c r="E418" s="195"/>
      <x:c r="F418" s="196"/>
      <x:c r="G418" s="195"/>
      <x:c r="H418" s="195"/>
      <x:c r="I418" s="96" t="str">
        <x:f>IF($B418="","",IF(COUNTIF(Account_Map!$A$6:$A$31,$B418)&gt;0,"Mapped","UNMAPPED"))</x:f>
      </x:c>
    </x:row>
    <x:row r="419">
      <x:c r="A419" s="194"/>
      <x:c r="B419" s="195"/>
      <x:c r="C419" s="195"/>
      <x:c r="D419" s="195"/>
      <x:c r="E419" s="195"/>
      <x:c r="F419" s="196"/>
      <x:c r="G419" s="195"/>
      <x:c r="H419" s="195"/>
      <x:c r="I419" s="96" t="str">
        <x:f>IF($B419="","",IF(COUNTIF(Account_Map!$A$6:$A$31,$B419)&gt;0,"Mapped","UNMAPPED"))</x:f>
      </x:c>
    </x:row>
    <x:row r="420">
      <x:c r="A420" s="194"/>
      <x:c r="B420" s="195"/>
      <x:c r="C420" s="195"/>
      <x:c r="D420" s="195"/>
      <x:c r="E420" s="195"/>
      <x:c r="F420" s="196"/>
      <x:c r="G420" s="195"/>
      <x:c r="H420" s="195"/>
      <x:c r="I420" s="96" t="str">
        <x:f>IF($B420="","",IF(COUNTIF(Account_Map!$A$6:$A$31,$B420)&gt;0,"Mapped","UNMAPPED"))</x:f>
      </x:c>
    </x:row>
    <x:row r="421">
      <x:c r="A421" s="194"/>
      <x:c r="B421" s="195"/>
      <x:c r="C421" s="195"/>
      <x:c r="D421" s="195"/>
      <x:c r="E421" s="195"/>
      <x:c r="F421" s="196"/>
      <x:c r="G421" s="195"/>
      <x:c r="H421" s="195"/>
      <x:c r="I421" s="96" t="str">
        <x:f>IF($B421="","",IF(COUNTIF(Account_Map!$A$6:$A$31,$B421)&gt;0,"Mapped","UNMAPPED"))</x:f>
      </x:c>
    </x:row>
    <x:row r="422">
      <x:c r="A422" s="194"/>
      <x:c r="B422" s="195"/>
      <x:c r="C422" s="195"/>
      <x:c r="D422" s="195"/>
      <x:c r="E422" s="195"/>
      <x:c r="F422" s="196"/>
      <x:c r="G422" s="195"/>
      <x:c r="H422" s="195"/>
      <x:c r="I422" s="96" t="str">
        <x:f>IF($B422="","",IF(COUNTIF(Account_Map!$A$6:$A$31,$B422)&gt;0,"Mapped","UNMAPPED"))</x:f>
      </x:c>
    </x:row>
    <x:row r="423">
      <x:c r="A423" s="194"/>
      <x:c r="B423" s="195"/>
      <x:c r="C423" s="195"/>
      <x:c r="D423" s="195"/>
      <x:c r="E423" s="195"/>
      <x:c r="F423" s="196"/>
      <x:c r="G423" s="195"/>
      <x:c r="H423" s="195"/>
      <x:c r="I423" s="96" t="str">
        <x:f>IF($B423="","",IF(COUNTIF(Account_Map!$A$6:$A$31,$B423)&gt;0,"Mapped","UNMAPPED"))</x:f>
      </x:c>
    </x:row>
    <x:row r="424">
      <x:c r="A424" s="194"/>
      <x:c r="B424" s="195"/>
      <x:c r="C424" s="195"/>
      <x:c r="D424" s="195"/>
      <x:c r="E424" s="195"/>
      <x:c r="F424" s="196"/>
      <x:c r="G424" s="195"/>
      <x:c r="H424" s="195"/>
      <x:c r="I424" s="96" t="str">
        <x:f>IF($B424="","",IF(COUNTIF(Account_Map!$A$6:$A$31,$B424)&gt;0,"Mapped","UNMAPPED"))</x:f>
      </x:c>
    </x:row>
    <x:row r="425">
      <x:c r="A425" s="194"/>
      <x:c r="B425" s="195"/>
      <x:c r="C425" s="195"/>
      <x:c r="D425" s="195"/>
      <x:c r="E425" s="195"/>
      <x:c r="F425" s="196"/>
      <x:c r="G425" s="195"/>
      <x:c r="H425" s="195"/>
      <x:c r="I425" s="96" t="str">
        <x:f>IF($B425="","",IF(COUNTIF(Account_Map!$A$6:$A$31,$B425)&gt;0,"Mapped","UNMAPPED"))</x:f>
      </x:c>
    </x:row>
    <x:row r="426">
      <x:c r="A426" s="194"/>
      <x:c r="B426" s="195"/>
      <x:c r="C426" s="195"/>
      <x:c r="D426" s="195"/>
      <x:c r="E426" s="195"/>
      <x:c r="F426" s="196"/>
      <x:c r="G426" s="195"/>
      <x:c r="H426" s="195"/>
      <x:c r="I426" s="96" t="str">
        <x:f>IF($B426="","",IF(COUNTIF(Account_Map!$A$6:$A$31,$B426)&gt;0,"Mapped","UNMAPPED"))</x:f>
      </x:c>
    </x:row>
    <x:row r="427">
      <x:c r="A427" s="194"/>
      <x:c r="B427" s="195"/>
      <x:c r="C427" s="195"/>
      <x:c r="D427" s="195"/>
      <x:c r="E427" s="195"/>
      <x:c r="F427" s="196"/>
      <x:c r="G427" s="195"/>
      <x:c r="H427" s="195"/>
      <x:c r="I427" s="96" t="str">
        <x:f>IF($B427="","",IF(COUNTIF(Account_Map!$A$6:$A$31,$B427)&gt;0,"Mapped","UNMAPPED"))</x:f>
      </x:c>
    </x:row>
    <x:row r="428">
      <x:c r="A428" s="194"/>
      <x:c r="B428" s="195"/>
      <x:c r="C428" s="195"/>
      <x:c r="D428" s="195"/>
      <x:c r="E428" s="195"/>
      <x:c r="F428" s="196"/>
      <x:c r="G428" s="195"/>
      <x:c r="H428" s="195"/>
      <x:c r="I428" s="96" t="str">
        <x:f>IF($B428="","",IF(COUNTIF(Account_Map!$A$6:$A$31,$B428)&gt;0,"Mapped","UNMAPPED"))</x:f>
      </x:c>
    </x:row>
    <x:row r="429">
      <x:c r="A429" s="194"/>
      <x:c r="B429" s="195"/>
      <x:c r="C429" s="195"/>
      <x:c r="D429" s="195"/>
      <x:c r="E429" s="195"/>
      <x:c r="F429" s="196"/>
      <x:c r="G429" s="195"/>
      <x:c r="H429" s="195"/>
      <x:c r="I429" s="96" t="str">
        <x:f>IF($B429="","",IF(COUNTIF(Account_Map!$A$6:$A$31,$B429)&gt;0,"Mapped","UNMAPPED"))</x:f>
      </x:c>
    </x:row>
    <x:row r="430">
      <x:c r="A430" s="194"/>
      <x:c r="B430" s="195"/>
      <x:c r="C430" s="195"/>
      <x:c r="D430" s="195"/>
      <x:c r="E430" s="195"/>
      <x:c r="F430" s="196"/>
      <x:c r="G430" s="195"/>
      <x:c r="H430" s="195"/>
      <x:c r="I430" s="96" t="str">
        <x:f>IF($B430="","",IF(COUNTIF(Account_Map!$A$6:$A$31,$B430)&gt;0,"Mapped","UNMAPPED"))</x:f>
      </x:c>
    </x:row>
    <x:row r="431">
      <x:c r="A431" s="194"/>
      <x:c r="B431" s="195"/>
      <x:c r="C431" s="195"/>
      <x:c r="D431" s="195"/>
      <x:c r="E431" s="195"/>
      <x:c r="F431" s="196"/>
      <x:c r="G431" s="195"/>
      <x:c r="H431" s="195"/>
      <x:c r="I431" s="96" t="str">
        <x:f>IF($B431="","",IF(COUNTIF(Account_Map!$A$6:$A$31,$B431)&gt;0,"Mapped","UNMAPPED"))</x:f>
      </x:c>
    </x:row>
    <x:row r="432">
      <x:c r="A432" s="194"/>
      <x:c r="B432" s="195"/>
      <x:c r="C432" s="195"/>
      <x:c r="D432" s="195"/>
      <x:c r="E432" s="195"/>
      <x:c r="F432" s="196"/>
      <x:c r="G432" s="195"/>
      <x:c r="H432" s="195"/>
      <x:c r="I432" s="96" t="str">
        <x:f>IF($B432="","",IF(COUNTIF(Account_Map!$A$6:$A$31,$B432)&gt;0,"Mapped","UNMAPPED"))</x:f>
      </x:c>
    </x:row>
    <x:row r="433">
      <x:c r="A433" s="194"/>
      <x:c r="B433" s="195"/>
      <x:c r="C433" s="195"/>
      <x:c r="D433" s="195"/>
      <x:c r="E433" s="195"/>
      <x:c r="F433" s="196"/>
      <x:c r="G433" s="195"/>
      <x:c r="H433" s="195"/>
      <x:c r="I433" s="96" t="str">
        <x:f>IF($B433="","",IF(COUNTIF(Account_Map!$A$6:$A$31,$B433)&gt;0,"Mapped","UNMAPPED"))</x:f>
      </x:c>
    </x:row>
    <x:row r="434">
      <x:c r="A434" s="194"/>
      <x:c r="B434" s="195"/>
      <x:c r="C434" s="195"/>
      <x:c r="D434" s="195"/>
      <x:c r="E434" s="195"/>
      <x:c r="F434" s="196"/>
      <x:c r="G434" s="195"/>
      <x:c r="H434" s="195"/>
      <x:c r="I434" s="96" t="str">
        <x:f>IF($B434="","",IF(COUNTIF(Account_Map!$A$6:$A$31,$B434)&gt;0,"Mapped","UNMAPPED"))</x:f>
      </x:c>
    </x:row>
    <x:row r="435">
      <x:c r="A435" s="194"/>
      <x:c r="B435" s="195"/>
      <x:c r="C435" s="195"/>
      <x:c r="D435" s="195"/>
      <x:c r="E435" s="195"/>
      <x:c r="F435" s="196"/>
      <x:c r="G435" s="195"/>
      <x:c r="H435" s="195"/>
      <x:c r="I435" s="96" t="str">
        <x:f>IF($B435="","",IF(COUNTIF(Account_Map!$A$6:$A$31,$B435)&gt;0,"Mapped","UNMAPPED"))</x:f>
      </x:c>
    </x:row>
    <x:row r="436">
      <x:c r="A436" s="194"/>
      <x:c r="B436" s="195"/>
      <x:c r="C436" s="195"/>
      <x:c r="D436" s="195"/>
      <x:c r="E436" s="195"/>
      <x:c r="F436" s="196"/>
      <x:c r="G436" s="195"/>
      <x:c r="H436" s="195"/>
      <x:c r="I436" s="96" t="str">
        <x:f>IF($B436="","",IF(COUNTIF(Account_Map!$A$6:$A$31,$B436)&gt;0,"Mapped","UNMAPPED"))</x:f>
      </x:c>
    </x:row>
    <x:row r="437">
      <x:c r="A437" s="194"/>
      <x:c r="B437" s="195"/>
      <x:c r="C437" s="195"/>
      <x:c r="D437" s="195"/>
      <x:c r="E437" s="195"/>
      <x:c r="F437" s="196"/>
      <x:c r="G437" s="195"/>
      <x:c r="H437" s="195"/>
      <x:c r="I437" s="96" t="str">
        <x:f>IF($B437="","",IF(COUNTIF(Account_Map!$A$6:$A$31,$B437)&gt;0,"Mapped","UNMAPPED"))</x:f>
      </x:c>
    </x:row>
    <x:row r="438">
      <x:c r="A438" s="194"/>
      <x:c r="B438" s="195"/>
      <x:c r="C438" s="195"/>
      <x:c r="D438" s="195"/>
      <x:c r="E438" s="195"/>
      <x:c r="F438" s="196"/>
      <x:c r="G438" s="195"/>
      <x:c r="H438" s="195"/>
      <x:c r="I438" s="96" t="str">
        <x:f>IF($B438="","",IF(COUNTIF(Account_Map!$A$6:$A$31,$B438)&gt;0,"Mapped","UNMAPPED"))</x:f>
      </x:c>
    </x:row>
    <x:row r="439">
      <x:c r="A439" s="194"/>
      <x:c r="B439" s="195"/>
      <x:c r="C439" s="195"/>
      <x:c r="D439" s="195"/>
      <x:c r="E439" s="195"/>
      <x:c r="F439" s="196"/>
      <x:c r="G439" s="195"/>
      <x:c r="H439" s="195"/>
      <x:c r="I439" s="96" t="str">
        <x:f>IF($B439="","",IF(COUNTIF(Account_Map!$A$6:$A$31,$B439)&gt;0,"Mapped","UNMAPPED"))</x:f>
      </x:c>
    </x:row>
    <x:row r="440">
      <x:c r="A440" s="194"/>
      <x:c r="B440" s="195"/>
      <x:c r="C440" s="195"/>
      <x:c r="D440" s="195"/>
      <x:c r="E440" s="195"/>
      <x:c r="F440" s="196"/>
      <x:c r="G440" s="195"/>
      <x:c r="H440" s="195"/>
      <x:c r="I440" s="96" t="str">
        <x:f>IF($B440="","",IF(COUNTIF(Account_Map!$A$6:$A$31,$B440)&gt;0,"Mapped","UNMAPPED"))</x:f>
      </x:c>
    </x:row>
    <x:row r="441">
      <x:c r="A441" s="194"/>
      <x:c r="B441" s="195"/>
      <x:c r="C441" s="195"/>
      <x:c r="D441" s="195"/>
      <x:c r="E441" s="195"/>
      <x:c r="F441" s="196"/>
      <x:c r="G441" s="195"/>
      <x:c r="H441" s="195"/>
      <x:c r="I441" s="96" t="str">
        <x:f>IF($B441="","",IF(COUNTIF(Account_Map!$A$6:$A$31,$B441)&gt;0,"Mapped","UNMAPPED"))</x:f>
      </x:c>
    </x:row>
    <x:row r="442">
      <x:c r="A442" s="194"/>
      <x:c r="B442" s="195"/>
      <x:c r="C442" s="195"/>
      <x:c r="D442" s="195"/>
      <x:c r="E442" s="195"/>
      <x:c r="F442" s="196"/>
      <x:c r="G442" s="195"/>
      <x:c r="H442" s="195"/>
      <x:c r="I442" s="96" t="str">
        <x:f>IF($B442="","",IF(COUNTIF(Account_Map!$A$6:$A$31,$B442)&gt;0,"Mapped","UNMAPPED"))</x:f>
      </x:c>
    </x:row>
    <x:row r="443">
      <x:c r="A443" s="194"/>
      <x:c r="B443" s="195"/>
      <x:c r="C443" s="195"/>
      <x:c r="D443" s="195"/>
      <x:c r="E443" s="195"/>
      <x:c r="F443" s="196"/>
      <x:c r="G443" s="195"/>
      <x:c r="H443" s="195"/>
      <x:c r="I443" s="96" t="str">
        <x:f>IF($B443="","",IF(COUNTIF(Account_Map!$A$6:$A$31,$B443)&gt;0,"Mapped","UNMAPPED"))</x:f>
      </x:c>
    </x:row>
    <x:row r="444">
      <x:c r="A444" s="194"/>
      <x:c r="B444" s="195"/>
      <x:c r="C444" s="195"/>
      <x:c r="D444" s="195"/>
      <x:c r="E444" s="195"/>
      <x:c r="F444" s="196"/>
      <x:c r="G444" s="195"/>
      <x:c r="H444" s="195"/>
      <x:c r="I444" s="96" t="str">
        <x:f>IF($B444="","",IF(COUNTIF(Account_Map!$A$6:$A$31,$B444)&gt;0,"Mapped","UNMAPPED"))</x:f>
      </x:c>
    </x:row>
    <x:row r="445">
      <x:c r="A445" s="194"/>
      <x:c r="B445" s="195"/>
      <x:c r="C445" s="195"/>
      <x:c r="D445" s="195"/>
      <x:c r="E445" s="195"/>
      <x:c r="F445" s="196"/>
      <x:c r="G445" s="195"/>
      <x:c r="H445" s="195"/>
      <x:c r="I445" s="96" t="str">
        <x:f>IF($B445="","",IF(COUNTIF(Account_Map!$A$6:$A$31,$B445)&gt;0,"Mapped","UNMAPPED"))</x:f>
      </x:c>
    </x:row>
    <x:row r="446">
      <x:c r="A446" s="194"/>
      <x:c r="B446" s="195"/>
      <x:c r="C446" s="195"/>
      <x:c r="D446" s="195"/>
      <x:c r="E446" s="195"/>
      <x:c r="F446" s="196"/>
      <x:c r="G446" s="195"/>
      <x:c r="H446" s="195"/>
      <x:c r="I446" s="96" t="str">
        <x:f>IF($B446="","",IF(COUNTIF(Account_Map!$A$6:$A$31,$B446)&gt;0,"Mapped","UNMAPPED"))</x:f>
      </x:c>
    </x:row>
    <x:row r="447">
      <x:c r="A447" s="194"/>
      <x:c r="B447" s="195"/>
      <x:c r="C447" s="195"/>
      <x:c r="D447" s="195"/>
      <x:c r="E447" s="195"/>
      <x:c r="F447" s="196"/>
      <x:c r="G447" s="195"/>
      <x:c r="H447" s="195"/>
      <x:c r="I447" s="96" t="str">
        <x:f>IF($B447="","",IF(COUNTIF(Account_Map!$A$6:$A$31,$B447)&gt;0,"Mapped","UNMAPPED"))</x:f>
      </x:c>
    </x:row>
    <x:row r="448">
      <x:c r="A448" s="194"/>
      <x:c r="B448" s="195"/>
      <x:c r="C448" s="195"/>
      <x:c r="D448" s="195"/>
      <x:c r="E448" s="195"/>
      <x:c r="F448" s="196"/>
      <x:c r="G448" s="195"/>
      <x:c r="H448" s="195"/>
      <x:c r="I448" s="96" t="str">
        <x:f>IF($B448="","",IF(COUNTIF(Account_Map!$A$6:$A$31,$B448)&gt;0,"Mapped","UNMAPPED"))</x:f>
      </x:c>
    </x:row>
    <x:row r="449">
      <x:c r="A449" s="194"/>
      <x:c r="B449" s="195"/>
      <x:c r="C449" s="195"/>
      <x:c r="D449" s="195"/>
      <x:c r="E449" s="195"/>
      <x:c r="F449" s="196"/>
      <x:c r="G449" s="195"/>
      <x:c r="H449" s="195"/>
      <x:c r="I449" s="96" t="str">
        <x:f>IF($B449="","",IF(COUNTIF(Account_Map!$A$6:$A$31,$B449)&gt;0,"Mapped","UNMAPPED"))</x:f>
      </x:c>
    </x:row>
    <x:row r="450">
      <x:c r="A450" s="194"/>
      <x:c r="B450" s="195"/>
      <x:c r="C450" s="195"/>
      <x:c r="D450" s="195"/>
      <x:c r="E450" s="195"/>
      <x:c r="F450" s="196"/>
      <x:c r="G450" s="195"/>
      <x:c r="H450" s="195"/>
      <x:c r="I450" s="96" t="str">
        <x:f>IF($B450="","",IF(COUNTIF(Account_Map!$A$6:$A$31,$B450)&gt;0,"Mapped","UNMAPPED"))</x:f>
      </x:c>
    </x:row>
    <x:row r="451">
      <x:c r="A451" s="194"/>
      <x:c r="B451" s="195"/>
      <x:c r="C451" s="195"/>
      <x:c r="D451" s="195"/>
      <x:c r="E451" s="195"/>
      <x:c r="F451" s="196"/>
      <x:c r="G451" s="195"/>
      <x:c r="H451" s="195"/>
      <x:c r="I451" s="96" t="str">
        <x:f>IF($B451="","",IF(COUNTIF(Account_Map!$A$6:$A$31,$B451)&gt;0,"Mapped","UNMAPPED"))</x:f>
      </x:c>
    </x:row>
    <x:row r="452">
      <x:c r="A452" s="194"/>
      <x:c r="B452" s="195"/>
      <x:c r="C452" s="195"/>
      <x:c r="D452" s="195"/>
      <x:c r="E452" s="195"/>
      <x:c r="F452" s="196"/>
      <x:c r="G452" s="195"/>
      <x:c r="H452" s="195"/>
      <x:c r="I452" s="96" t="str">
        <x:f>IF($B452="","",IF(COUNTIF(Account_Map!$A$6:$A$31,$B452)&gt;0,"Mapped","UNMAPPED"))</x:f>
      </x:c>
    </x:row>
    <x:row r="453">
      <x:c r="A453" s="194"/>
      <x:c r="B453" s="195"/>
      <x:c r="C453" s="195"/>
      <x:c r="D453" s="195"/>
      <x:c r="E453" s="195"/>
      <x:c r="F453" s="196"/>
      <x:c r="G453" s="195"/>
      <x:c r="H453" s="195"/>
      <x:c r="I453" s="96" t="str">
        <x:f>IF($B453="","",IF(COUNTIF(Account_Map!$A$6:$A$31,$B453)&gt;0,"Mapped","UNMAPPED"))</x:f>
      </x:c>
    </x:row>
    <x:row r="454">
      <x:c r="A454" s="194"/>
      <x:c r="B454" s="195"/>
      <x:c r="C454" s="195"/>
      <x:c r="D454" s="195"/>
      <x:c r="E454" s="195"/>
      <x:c r="F454" s="196"/>
      <x:c r="G454" s="195"/>
      <x:c r="H454" s="195"/>
      <x:c r="I454" s="96" t="str">
        <x:f>IF($B454="","",IF(COUNTIF(Account_Map!$A$6:$A$31,$B454)&gt;0,"Mapped","UNMAPPED"))</x:f>
      </x:c>
    </x:row>
    <x:row r="455">
      <x:c r="A455" s="194"/>
      <x:c r="B455" s="195"/>
      <x:c r="C455" s="195"/>
      <x:c r="D455" s="195"/>
      <x:c r="E455" s="195"/>
      <x:c r="F455" s="196"/>
      <x:c r="G455" s="195"/>
      <x:c r="H455" s="195"/>
      <x:c r="I455" s="96" t="str">
        <x:f>IF($B455="","",IF(COUNTIF(Account_Map!$A$6:$A$31,$B455)&gt;0,"Mapped","UNMAPPED"))</x:f>
      </x:c>
    </x:row>
    <x:row r="456">
      <x:c r="A456" s="194"/>
      <x:c r="B456" s="195"/>
      <x:c r="C456" s="195"/>
      <x:c r="D456" s="195"/>
      <x:c r="E456" s="195"/>
      <x:c r="F456" s="196"/>
      <x:c r="G456" s="195"/>
      <x:c r="H456" s="195"/>
      <x:c r="I456" s="96" t="str">
        <x:f>IF($B456="","",IF(COUNTIF(Account_Map!$A$6:$A$31,$B456)&gt;0,"Mapped","UNMAPPED"))</x:f>
      </x:c>
    </x:row>
    <x:row r="457">
      <x:c r="A457" s="194"/>
      <x:c r="B457" s="195"/>
      <x:c r="C457" s="195"/>
      <x:c r="D457" s="195"/>
      <x:c r="E457" s="195"/>
      <x:c r="F457" s="196"/>
      <x:c r="G457" s="195"/>
      <x:c r="H457" s="195"/>
      <x:c r="I457" s="96" t="str">
        <x:f>IF($B457="","",IF(COUNTIF(Account_Map!$A$6:$A$31,$B457)&gt;0,"Mapped","UNMAPPED"))</x:f>
      </x:c>
    </x:row>
    <x:row r="458">
      <x:c r="A458" s="194"/>
      <x:c r="B458" s="195"/>
      <x:c r="C458" s="195"/>
      <x:c r="D458" s="195"/>
      <x:c r="E458" s="195"/>
      <x:c r="F458" s="196"/>
      <x:c r="G458" s="195"/>
      <x:c r="H458" s="195"/>
      <x:c r="I458" s="96" t="str">
        <x:f>IF($B458="","",IF(COUNTIF(Account_Map!$A$6:$A$31,$B458)&gt;0,"Mapped","UNMAPPED"))</x:f>
      </x:c>
    </x:row>
    <x:row r="459">
      <x:c r="A459" s="194"/>
      <x:c r="B459" s="195"/>
      <x:c r="C459" s="195"/>
      <x:c r="D459" s="195"/>
      <x:c r="E459" s="195"/>
      <x:c r="F459" s="196"/>
      <x:c r="G459" s="195"/>
      <x:c r="H459" s="195"/>
      <x:c r="I459" s="96" t="str">
        <x:f>IF($B459="","",IF(COUNTIF(Account_Map!$A$6:$A$31,$B459)&gt;0,"Mapped","UNMAPPED"))</x:f>
      </x:c>
    </x:row>
    <x:row r="460">
      <x:c r="A460" s="194"/>
      <x:c r="B460" s="195"/>
      <x:c r="C460" s="195"/>
      <x:c r="D460" s="195"/>
      <x:c r="E460" s="195"/>
      <x:c r="F460" s="196"/>
      <x:c r="G460" s="195"/>
      <x:c r="H460" s="195"/>
      <x:c r="I460" s="96" t="str">
        <x:f>IF($B460="","",IF(COUNTIF(Account_Map!$A$6:$A$31,$B460)&gt;0,"Mapped","UNMAPPED"))</x:f>
      </x:c>
    </x:row>
    <x:row r="461">
      <x:c r="A461" s="194"/>
      <x:c r="B461" s="195"/>
      <x:c r="C461" s="195"/>
      <x:c r="D461" s="195"/>
      <x:c r="E461" s="195"/>
      <x:c r="F461" s="196"/>
      <x:c r="G461" s="195"/>
      <x:c r="H461" s="195"/>
      <x:c r="I461" s="96" t="str">
        <x:f>IF($B461="","",IF(COUNTIF(Account_Map!$A$6:$A$31,$B461)&gt;0,"Mapped","UNMAPPED"))</x:f>
      </x:c>
    </x:row>
    <x:row r="462">
      <x:c r="A462" s="194"/>
      <x:c r="B462" s="195"/>
      <x:c r="C462" s="195"/>
      <x:c r="D462" s="195"/>
      <x:c r="E462" s="195"/>
      <x:c r="F462" s="196"/>
      <x:c r="G462" s="195"/>
      <x:c r="H462" s="195"/>
      <x:c r="I462" s="96" t="str">
        <x:f>IF($B462="","",IF(COUNTIF(Account_Map!$A$6:$A$31,$B462)&gt;0,"Mapped","UNMAPPED"))</x:f>
      </x:c>
    </x:row>
    <x:row r="463">
      <x:c r="A463" s="194"/>
      <x:c r="B463" s="195"/>
      <x:c r="C463" s="195"/>
      <x:c r="D463" s="195"/>
      <x:c r="E463" s="195"/>
      <x:c r="F463" s="196"/>
      <x:c r="G463" s="195"/>
      <x:c r="H463" s="195"/>
      <x:c r="I463" s="96" t="str">
        <x:f>IF($B463="","",IF(COUNTIF(Account_Map!$A$6:$A$31,$B463)&gt;0,"Mapped","UNMAPPED"))</x:f>
      </x:c>
    </x:row>
    <x:row r="464">
      <x:c r="A464" s="194"/>
      <x:c r="B464" s="195"/>
      <x:c r="C464" s="195"/>
      <x:c r="D464" s="195"/>
      <x:c r="E464" s="195"/>
      <x:c r="F464" s="196"/>
      <x:c r="G464" s="195"/>
      <x:c r="H464" s="195"/>
      <x:c r="I464" s="96" t="str">
        <x:f>IF($B464="","",IF(COUNTIF(Account_Map!$A$6:$A$31,$B464)&gt;0,"Mapped","UNMAPPED"))</x:f>
      </x:c>
    </x:row>
    <x:row r="465">
      <x:c r="A465" s="194"/>
      <x:c r="B465" s="195"/>
      <x:c r="C465" s="195"/>
      <x:c r="D465" s="195"/>
      <x:c r="E465" s="195"/>
      <x:c r="F465" s="196"/>
      <x:c r="G465" s="195"/>
      <x:c r="H465" s="195"/>
      <x:c r="I465" s="96" t="str">
        <x:f>IF($B465="","",IF(COUNTIF(Account_Map!$A$6:$A$31,$B465)&gt;0,"Mapped","UNMAPPED"))</x:f>
      </x:c>
    </x:row>
    <x:row r="466">
      <x:c r="A466" s="194"/>
      <x:c r="B466" s="195"/>
      <x:c r="C466" s="195"/>
      <x:c r="D466" s="195"/>
      <x:c r="E466" s="195"/>
      <x:c r="F466" s="196"/>
      <x:c r="G466" s="195"/>
      <x:c r="H466" s="195"/>
      <x:c r="I466" s="96" t="str">
        <x:f>IF($B466="","",IF(COUNTIF(Account_Map!$A$6:$A$31,$B466)&gt;0,"Mapped","UNMAPPED"))</x:f>
      </x:c>
    </x:row>
    <x:row r="467">
      <x:c r="A467" s="194"/>
      <x:c r="B467" s="195"/>
      <x:c r="C467" s="195"/>
      <x:c r="D467" s="195"/>
      <x:c r="E467" s="195"/>
      <x:c r="F467" s="196"/>
      <x:c r="G467" s="195"/>
      <x:c r="H467" s="195"/>
      <x:c r="I467" s="96" t="str">
        <x:f>IF($B467="","",IF(COUNTIF(Account_Map!$A$6:$A$31,$B467)&gt;0,"Mapped","UNMAPPED"))</x:f>
      </x:c>
    </x:row>
    <x:row r="468">
      <x:c r="A468" s="194"/>
      <x:c r="B468" s="195"/>
      <x:c r="C468" s="195"/>
      <x:c r="D468" s="195"/>
      <x:c r="E468" s="195"/>
      <x:c r="F468" s="196"/>
      <x:c r="G468" s="195"/>
      <x:c r="H468" s="195"/>
      <x:c r="I468" s="96" t="str">
        <x:f>IF($B468="","",IF(COUNTIF(Account_Map!$A$6:$A$31,$B468)&gt;0,"Mapped","UNMAPPED"))</x:f>
      </x:c>
    </x:row>
    <x:row r="469">
      <x:c r="A469" s="194"/>
      <x:c r="B469" s="195"/>
      <x:c r="C469" s="195"/>
      <x:c r="D469" s="195"/>
      <x:c r="E469" s="195"/>
      <x:c r="F469" s="196"/>
      <x:c r="G469" s="195"/>
      <x:c r="H469" s="195"/>
      <x:c r="I469" s="96" t="str">
        <x:f>IF($B469="","",IF(COUNTIF(Account_Map!$A$6:$A$31,$B469)&gt;0,"Mapped","UNMAPPED"))</x:f>
      </x:c>
    </x:row>
    <x:row r="470">
      <x:c r="A470" s="194"/>
      <x:c r="B470" s="195"/>
      <x:c r="C470" s="195"/>
      <x:c r="D470" s="195"/>
      <x:c r="E470" s="195"/>
      <x:c r="F470" s="196"/>
      <x:c r="G470" s="195"/>
      <x:c r="H470" s="195"/>
      <x:c r="I470" s="96" t="str">
        <x:f>IF($B470="","",IF(COUNTIF(Account_Map!$A$6:$A$31,$B470)&gt;0,"Mapped","UNMAPPED"))</x:f>
      </x:c>
    </x:row>
    <x:row r="471">
      <x:c r="A471" s="194"/>
      <x:c r="B471" s="195"/>
      <x:c r="C471" s="195"/>
      <x:c r="D471" s="195"/>
      <x:c r="E471" s="195"/>
      <x:c r="F471" s="196"/>
      <x:c r="G471" s="195"/>
      <x:c r="H471" s="195"/>
      <x:c r="I471" s="96" t="str">
        <x:f>IF($B471="","",IF(COUNTIF(Account_Map!$A$6:$A$31,$B471)&gt;0,"Mapped","UNMAPPED"))</x:f>
      </x:c>
    </x:row>
    <x:row r="472">
      <x:c r="A472" s="194"/>
      <x:c r="B472" s="195"/>
      <x:c r="C472" s="195"/>
      <x:c r="D472" s="195"/>
      <x:c r="E472" s="195"/>
      <x:c r="F472" s="196"/>
      <x:c r="G472" s="195"/>
      <x:c r="H472" s="195"/>
      <x:c r="I472" s="96" t="str">
        <x:f>IF($B472="","",IF(COUNTIF(Account_Map!$A$6:$A$31,$B472)&gt;0,"Mapped","UNMAPPED"))</x:f>
      </x:c>
    </x:row>
    <x:row r="473">
      <x:c r="A473" s="194"/>
      <x:c r="B473" s="195"/>
      <x:c r="C473" s="195"/>
      <x:c r="D473" s="195"/>
      <x:c r="E473" s="195"/>
      <x:c r="F473" s="196"/>
      <x:c r="G473" s="195"/>
      <x:c r="H473" s="195"/>
      <x:c r="I473" s="96" t="str">
        <x:f>IF($B473="","",IF(COUNTIF(Account_Map!$A$6:$A$31,$B473)&gt;0,"Mapped","UNMAPPED"))</x:f>
      </x:c>
    </x:row>
    <x:row r="474">
      <x:c r="A474" s="194"/>
      <x:c r="B474" s="195"/>
      <x:c r="C474" s="195"/>
      <x:c r="D474" s="195"/>
      <x:c r="E474" s="195"/>
      <x:c r="F474" s="196"/>
      <x:c r="G474" s="195"/>
      <x:c r="H474" s="195"/>
      <x:c r="I474" s="96" t="str">
        <x:f>IF($B474="","",IF(COUNTIF(Account_Map!$A$6:$A$31,$B474)&gt;0,"Mapped","UNMAPPED"))</x:f>
      </x:c>
    </x:row>
    <x:row r="475">
      <x:c r="A475" s="194"/>
      <x:c r="B475" s="195"/>
      <x:c r="C475" s="195"/>
      <x:c r="D475" s="195"/>
      <x:c r="E475" s="195"/>
      <x:c r="F475" s="196"/>
      <x:c r="G475" s="195"/>
      <x:c r="H475" s="195"/>
      <x:c r="I475" s="96" t="str">
        <x:f>IF($B475="","",IF(COUNTIF(Account_Map!$A$6:$A$31,$B475)&gt;0,"Mapped","UNMAPPED"))</x:f>
      </x:c>
    </x:row>
    <x:row r="476">
      <x:c r="A476" s="194"/>
      <x:c r="B476" s="195"/>
      <x:c r="C476" s="195"/>
      <x:c r="D476" s="195"/>
      <x:c r="E476" s="195"/>
      <x:c r="F476" s="196"/>
      <x:c r="G476" s="195"/>
      <x:c r="H476" s="195"/>
      <x:c r="I476" s="96" t="str">
        <x:f>IF($B476="","",IF(COUNTIF(Account_Map!$A$6:$A$31,$B476)&gt;0,"Mapped","UNMAPPED"))</x:f>
      </x:c>
    </x:row>
    <x:row r="477">
      <x:c r="A477" s="194"/>
      <x:c r="B477" s="195"/>
      <x:c r="C477" s="195"/>
      <x:c r="D477" s="195"/>
      <x:c r="E477" s="195"/>
      <x:c r="F477" s="196"/>
      <x:c r="G477" s="195"/>
      <x:c r="H477" s="195"/>
      <x:c r="I477" s="96" t="str">
        <x:f>IF($B477="","",IF(COUNTIF(Account_Map!$A$6:$A$31,$B477)&gt;0,"Mapped","UNMAPPED"))</x:f>
      </x:c>
    </x:row>
    <x:row r="478">
      <x:c r="A478" s="194"/>
      <x:c r="B478" s="195"/>
      <x:c r="C478" s="195"/>
      <x:c r="D478" s="195"/>
      <x:c r="E478" s="195"/>
      <x:c r="F478" s="196"/>
      <x:c r="G478" s="195"/>
      <x:c r="H478" s="195"/>
      <x:c r="I478" s="96" t="str">
        <x:f>IF($B478="","",IF(COUNTIF(Account_Map!$A$6:$A$31,$B478)&gt;0,"Mapped","UNMAPPED"))</x:f>
      </x:c>
    </x:row>
    <x:row r="479">
      <x:c r="A479" s="194"/>
      <x:c r="B479" s="195"/>
      <x:c r="C479" s="195"/>
      <x:c r="D479" s="195"/>
      <x:c r="E479" s="195"/>
      <x:c r="F479" s="196"/>
      <x:c r="G479" s="195"/>
      <x:c r="H479" s="195"/>
      <x:c r="I479" s="96" t="str">
        <x:f>IF($B479="","",IF(COUNTIF(Account_Map!$A$6:$A$31,$B479)&gt;0,"Mapped","UNMAPPED"))</x:f>
      </x:c>
    </x:row>
    <x:row r="480">
      <x:c r="A480" s="194"/>
      <x:c r="B480" s="195"/>
      <x:c r="C480" s="195"/>
      <x:c r="D480" s="195"/>
      <x:c r="E480" s="195"/>
      <x:c r="F480" s="196"/>
      <x:c r="G480" s="195"/>
      <x:c r="H480" s="195"/>
      <x:c r="I480" s="96" t="str">
        <x:f>IF($B480="","",IF(COUNTIF(Account_Map!$A$6:$A$31,$B480)&gt;0,"Mapped","UNMAPPED"))</x:f>
      </x:c>
    </x:row>
    <x:row r="481">
      <x:c r="A481" s="194"/>
      <x:c r="B481" s="195"/>
      <x:c r="C481" s="195"/>
      <x:c r="D481" s="195"/>
      <x:c r="E481" s="195"/>
      <x:c r="F481" s="196"/>
      <x:c r="G481" s="195"/>
      <x:c r="H481" s="195"/>
      <x:c r="I481" s="96" t="str">
        <x:f>IF($B481="","",IF(COUNTIF(Account_Map!$A$6:$A$31,$B481)&gt;0,"Mapped","UNMAPPED"))</x:f>
      </x:c>
    </x:row>
    <x:row r="482">
      <x:c r="A482" s="194"/>
      <x:c r="B482" s="195"/>
      <x:c r="C482" s="195"/>
      <x:c r="D482" s="195"/>
      <x:c r="E482" s="195"/>
      <x:c r="F482" s="196"/>
      <x:c r="G482" s="195"/>
      <x:c r="H482" s="195"/>
      <x:c r="I482" s="96" t="str">
        <x:f>IF($B482="","",IF(COUNTIF(Account_Map!$A$6:$A$31,$B482)&gt;0,"Mapped","UNMAPPED"))</x:f>
      </x:c>
    </x:row>
    <x:row r="483">
      <x:c r="A483" s="194"/>
      <x:c r="B483" s="195"/>
      <x:c r="C483" s="195"/>
      <x:c r="D483" s="195"/>
      <x:c r="E483" s="195"/>
      <x:c r="F483" s="196"/>
      <x:c r="G483" s="195"/>
      <x:c r="H483" s="195"/>
      <x:c r="I483" s="96" t="str">
        <x:f>IF($B483="","",IF(COUNTIF(Account_Map!$A$6:$A$31,$B483)&gt;0,"Mapped","UNMAPPED"))</x:f>
      </x:c>
    </x:row>
    <x:row r="484">
      <x:c r="A484" s="194"/>
      <x:c r="B484" s="195"/>
      <x:c r="C484" s="195"/>
      <x:c r="D484" s="195"/>
      <x:c r="E484" s="195"/>
      <x:c r="F484" s="196"/>
      <x:c r="G484" s="195"/>
      <x:c r="H484" s="195"/>
      <x:c r="I484" s="96" t="str">
        <x:f>IF($B484="","",IF(COUNTIF(Account_Map!$A$6:$A$31,$B484)&gt;0,"Mapped","UNMAPPED"))</x:f>
      </x:c>
    </x:row>
    <x:row r="485">
      <x:c r="A485" s="194"/>
      <x:c r="B485" s="195"/>
      <x:c r="C485" s="195"/>
      <x:c r="D485" s="195"/>
      <x:c r="E485" s="195"/>
      <x:c r="F485" s="196"/>
      <x:c r="G485" s="195"/>
      <x:c r="H485" s="195"/>
      <x:c r="I485" s="96" t="str">
        <x:f>IF($B485="","",IF(COUNTIF(Account_Map!$A$6:$A$31,$B485)&gt;0,"Mapped","UNMAPPED"))</x:f>
      </x:c>
    </x:row>
    <x:row r="486">
      <x:c r="A486" s="194"/>
      <x:c r="B486" s="195"/>
      <x:c r="C486" s="195"/>
      <x:c r="D486" s="195"/>
      <x:c r="E486" s="195"/>
      <x:c r="F486" s="196"/>
      <x:c r="G486" s="195"/>
      <x:c r="H486" s="195"/>
      <x:c r="I486" s="96" t="str">
        <x:f>IF($B486="","",IF(COUNTIF(Account_Map!$A$6:$A$31,$B486)&gt;0,"Mapped","UNMAPPED"))</x:f>
      </x:c>
    </x:row>
    <x:row r="487">
      <x:c r="A487" s="194"/>
      <x:c r="B487" s="195"/>
      <x:c r="C487" s="195"/>
      <x:c r="D487" s="195"/>
      <x:c r="E487" s="195"/>
      <x:c r="F487" s="196"/>
      <x:c r="G487" s="195"/>
      <x:c r="H487" s="195"/>
      <x:c r="I487" s="96" t="str">
        <x:f>IF($B487="","",IF(COUNTIF(Account_Map!$A$6:$A$31,$B487)&gt;0,"Mapped","UNMAPPED"))</x:f>
      </x:c>
    </x:row>
    <x:row r="488">
      <x:c r="A488" s="194"/>
      <x:c r="B488" s="195"/>
      <x:c r="C488" s="195"/>
      <x:c r="D488" s="195"/>
      <x:c r="E488" s="195"/>
      <x:c r="F488" s="196"/>
      <x:c r="G488" s="195"/>
      <x:c r="H488" s="195"/>
      <x:c r="I488" s="96" t="str">
        <x:f>IF($B488="","",IF(COUNTIF(Account_Map!$A$6:$A$31,$B488)&gt;0,"Mapped","UNMAPPED"))</x:f>
      </x:c>
    </x:row>
    <x:row r="489">
      <x:c r="A489" s="194"/>
      <x:c r="B489" s="195"/>
      <x:c r="C489" s="195"/>
      <x:c r="D489" s="195"/>
      <x:c r="E489" s="195"/>
      <x:c r="F489" s="196"/>
      <x:c r="G489" s="195"/>
      <x:c r="H489" s="195"/>
      <x:c r="I489" s="96" t="str">
        <x:f>IF($B489="","",IF(COUNTIF(Account_Map!$A$6:$A$31,$B489)&gt;0,"Mapped","UNMAPPED"))</x:f>
      </x:c>
    </x:row>
    <x:row r="490">
      <x:c r="A490" s="194"/>
      <x:c r="B490" s="195"/>
      <x:c r="C490" s="195"/>
      <x:c r="D490" s="195"/>
      <x:c r="E490" s="195"/>
      <x:c r="F490" s="196"/>
      <x:c r="G490" s="195"/>
      <x:c r="H490" s="195"/>
      <x:c r="I490" s="96" t="str">
        <x:f>IF($B490="","",IF(COUNTIF(Account_Map!$A$6:$A$31,$B490)&gt;0,"Mapped","UNMAPPED"))</x:f>
      </x:c>
    </x:row>
    <x:row r="491">
      <x:c r="A491" s="194"/>
      <x:c r="B491" s="195"/>
      <x:c r="C491" s="195"/>
      <x:c r="D491" s="195"/>
      <x:c r="E491" s="195"/>
      <x:c r="F491" s="196"/>
      <x:c r="G491" s="195"/>
      <x:c r="H491" s="195"/>
      <x:c r="I491" s="96" t="str">
        <x:f>IF($B491="","",IF(COUNTIF(Account_Map!$A$6:$A$31,$B491)&gt;0,"Mapped","UNMAPPED"))</x:f>
      </x:c>
    </x:row>
    <x:row r="492">
      <x:c r="A492" s="194"/>
      <x:c r="B492" s="195"/>
      <x:c r="C492" s="195"/>
      <x:c r="D492" s="195"/>
      <x:c r="E492" s="195"/>
      <x:c r="F492" s="196"/>
      <x:c r="G492" s="195"/>
      <x:c r="H492" s="195"/>
      <x:c r="I492" s="96" t="str">
        <x:f>IF($B492="","",IF(COUNTIF(Account_Map!$A$6:$A$31,$B492)&gt;0,"Mapped","UNMAPPED"))</x:f>
      </x:c>
    </x:row>
    <x:row r="493">
      <x:c r="A493" s="194"/>
      <x:c r="B493" s="195"/>
      <x:c r="C493" s="195"/>
      <x:c r="D493" s="195"/>
      <x:c r="E493" s="195"/>
      <x:c r="F493" s="196"/>
      <x:c r="G493" s="195"/>
      <x:c r="H493" s="195"/>
      <x:c r="I493" s="96" t="str">
        <x:f>IF($B493="","",IF(COUNTIF(Account_Map!$A$6:$A$31,$B493)&gt;0,"Mapped","UNMAPPED"))</x:f>
      </x:c>
    </x:row>
    <x:row r="494">
      <x:c r="A494" s="194"/>
      <x:c r="B494" s="195"/>
      <x:c r="C494" s="195"/>
      <x:c r="D494" s="195"/>
      <x:c r="E494" s="195"/>
      <x:c r="F494" s="196"/>
      <x:c r="G494" s="195"/>
      <x:c r="H494" s="195"/>
      <x:c r="I494" s="96" t="str">
        <x:f>IF($B494="","",IF(COUNTIF(Account_Map!$A$6:$A$31,$B494)&gt;0,"Mapped","UNMAPPED"))</x:f>
      </x:c>
    </x:row>
    <x:row r="495">
      <x:c r="A495" s="194"/>
      <x:c r="B495" s="195"/>
      <x:c r="C495" s="195"/>
      <x:c r="D495" s="195"/>
      <x:c r="E495" s="195"/>
      <x:c r="F495" s="196"/>
      <x:c r="G495" s="195"/>
      <x:c r="H495" s="195"/>
      <x:c r="I495" s="96" t="str">
        <x:f>IF($B495="","",IF(COUNTIF(Account_Map!$A$6:$A$31,$B495)&gt;0,"Mapped","UNMAPPED"))</x:f>
      </x:c>
    </x:row>
    <x:row r="496">
      <x:c r="A496" s="194"/>
      <x:c r="B496" s="195"/>
      <x:c r="C496" s="195"/>
      <x:c r="D496" s="195"/>
      <x:c r="E496" s="195"/>
      <x:c r="F496" s="196"/>
      <x:c r="G496" s="195"/>
      <x:c r="H496" s="195"/>
      <x:c r="I496" s="96" t="str">
        <x:f>IF($B496="","",IF(COUNTIF(Account_Map!$A$6:$A$31,$B496)&gt;0,"Mapped","UNMAPPED"))</x:f>
      </x:c>
    </x:row>
    <x:row r="497">
      <x:c r="A497" s="194"/>
      <x:c r="B497" s="195"/>
      <x:c r="C497" s="195"/>
      <x:c r="D497" s="195"/>
      <x:c r="E497" s="195"/>
      <x:c r="F497" s="196"/>
      <x:c r="G497" s="195"/>
      <x:c r="H497" s="195"/>
      <x:c r="I497" s="96" t="str">
        <x:f>IF($B497="","",IF(COUNTIF(Account_Map!$A$6:$A$31,$B497)&gt;0,"Mapped","UNMAPPED"))</x:f>
      </x:c>
    </x:row>
    <x:row r="498">
      <x:c r="A498" s="194"/>
      <x:c r="B498" s="195"/>
      <x:c r="C498" s="195"/>
      <x:c r="D498" s="195"/>
      <x:c r="E498" s="195"/>
      <x:c r="F498" s="196"/>
      <x:c r="G498" s="195"/>
      <x:c r="H498" s="195"/>
      <x:c r="I498" s="96" t="str">
        <x:f>IF($B498="","",IF(COUNTIF(Account_Map!$A$6:$A$31,$B498)&gt;0,"Mapped","UNMAPPED"))</x:f>
      </x:c>
    </x:row>
    <x:row r="499">
      <x:c r="A499" s="194"/>
      <x:c r="B499" s="195"/>
      <x:c r="C499" s="195"/>
      <x:c r="D499" s="195"/>
      <x:c r="E499" s="195"/>
      <x:c r="F499" s="196"/>
      <x:c r="G499" s="195"/>
      <x:c r="H499" s="195"/>
      <x:c r="I499" s="96" t="str">
        <x:f>IF($B499="","",IF(COUNTIF(Account_Map!$A$6:$A$31,$B499)&gt;0,"Mapped","UNMAPPED"))</x:f>
      </x:c>
    </x:row>
    <x:row r="500">
      <x:c r="A500" s="194"/>
      <x:c r="B500" s="195"/>
      <x:c r="C500" s="195"/>
      <x:c r="D500" s="195"/>
      <x:c r="E500" s="195"/>
      <x:c r="F500" s="196"/>
      <x:c r="G500" s="195"/>
      <x:c r="H500" s="195"/>
      <x:c r="I500" s="96" t="str">
        <x:f>IF($B500="","",IF(COUNTIF(Account_Map!$A$6:$A$31,$B500)&gt;0,"Mapped","UNMAPPED"))</x:f>
      </x:c>
    </x:row>
    <x:row r="501">
      <x:c r="A501" s="194"/>
      <x:c r="B501" s="195"/>
      <x:c r="C501" s="195"/>
      <x:c r="D501" s="195"/>
      <x:c r="E501" s="195"/>
      <x:c r="F501" s="196"/>
      <x:c r="G501" s="195"/>
      <x:c r="H501" s="195"/>
      <x:c r="I501" s="96" t="str">
        <x:f>IF($B501="","",IF(COUNTIF(Account_Map!$A$6:$A$31,$B501)&gt;0,"Mapped","UNMAPPED"))</x:f>
      </x:c>
    </x:row>
    <x:row r="502">
      <x:c r="A502" s="194"/>
      <x:c r="B502" s="195"/>
      <x:c r="C502" s="195"/>
      <x:c r="D502" s="195"/>
      <x:c r="E502" s="195"/>
      <x:c r="F502" s="196"/>
      <x:c r="G502" s="195"/>
      <x:c r="H502" s="195"/>
      <x:c r="I502" s="96" t="str">
        <x:f>IF($B502="","",IF(COUNTIF(Account_Map!$A$6:$A$31,$B502)&gt;0,"Mapped","UNMAPPED"))</x:f>
      </x:c>
    </x:row>
    <x:row r="503">
      <x:c r="A503" s="194"/>
      <x:c r="B503" s="195"/>
      <x:c r="C503" s="195"/>
      <x:c r="D503" s="195"/>
      <x:c r="E503" s="195"/>
      <x:c r="F503" s="196"/>
      <x:c r="G503" s="195"/>
      <x:c r="H503" s="195"/>
      <x:c r="I503" s="96" t="str">
        <x:f>IF($B503="","",IF(COUNTIF(Account_Map!$A$6:$A$31,$B503)&gt;0,"Mapped","UNMAPPED"))</x:f>
      </x:c>
    </x:row>
    <x:row r="504">
      <x:c r="A504" s="194"/>
      <x:c r="B504" s="195"/>
      <x:c r="C504" s="195"/>
      <x:c r="D504" s="195"/>
      <x:c r="E504" s="195"/>
      <x:c r="F504" s="196"/>
      <x:c r="G504" s="195"/>
      <x:c r="H504" s="195"/>
      <x:c r="I504" s="96" t="str">
        <x:f>IF($B504="","",IF(COUNTIF(Account_Map!$A$6:$A$31,$B504)&gt;0,"Mapped","UNMAPPED"))</x:f>
      </x:c>
    </x:row>
    <x:row r="505">
      <x:c r="A505" s="194"/>
      <x:c r="B505" s="195"/>
      <x:c r="C505" s="195"/>
      <x:c r="D505" s="195"/>
      <x:c r="E505" s="195"/>
      <x:c r="F505" s="196"/>
      <x:c r="G505" s="195"/>
      <x:c r="H505" s="195"/>
      <x:c r="I505" s="96" t="str">
        <x:f>IF($B505="","",IF(COUNTIF(Account_Map!$A$6:$A$31,$B505)&gt;0,"Mapped","UNMAPPED"))</x:f>
      </x:c>
    </x:row>
  </x:sheetData>
  <x:mergeCells>
    <x:mergeCell ref="A1:I1"/>
    <x:mergeCell ref="A2:I2"/>
    <x:mergeCell ref="A4:H4"/>
  </x:mergeCells>
  <x:conditionalFormatting sqref="I6:I505">
    <x:cfRule type="expression" dxfId="3" priority="1">
      <x:formula>I6="UNMAPPED"</x:formula>
    </x:cfRule>
  </x:conditionalFormatting>
  <x:conditionalFormatting sqref="I6:I218">
    <x:cfRule type="expression" dxfId="50" priority="2">
      <x:formula>I6="Unmapped"</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3" hidden="0" customWidth="1"/>
    <x:col min="2" max="2" width="29" hidden="0" customWidth="1"/>
    <x:col min="3" max="3" width="16" hidden="0" customWidth="1"/>
    <x:col min="4" max="4" width="26" hidden="0" customWidth="1"/>
    <x:col min="5" max="5" width="18" hidden="0" customWidth="1"/>
    <x:col min="6" max="6" width="14" hidden="0" customWidth="1"/>
    <x:col min="7" max="7" width="17"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s>
  <x:sheetData>
    <x:row r="1" ht="24" customHeight="1">
      <x:c r="A1" s="178" t="str">
        <x:v>Synthetic SaaS Company | Account Mapping &amp; Monthly Aggregation</x:v>
      </x:c>
      <x:c r="B1" s="178"/>
      <x:c r="C1" s="178"/>
      <x:c r="D1" s="178"/>
      <x:c r="E1" s="178"/>
      <x:c r="F1" s="178"/>
      <x:c r="G1" s="178"/>
      <x:c r="H1" s="178"/>
      <x:c r="I1" s="178"/>
      <x:c r="J1" s="178"/>
      <x:c r="K1" s="178"/>
      <x:c r="L1" s="178"/>
      <x:c r="M1" s="178"/>
      <x:c r="N1" s="178"/>
      <x:c r="O1" s="178"/>
      <x:c r="P1" s="178"/>
      <x:c r="Q1" s="178"/>
      <x:c r="R1" s="178"/>
      <x:c r="S1" s="178"/>
      <x:c r="T1" s="178"/>
      <x:c r="U1" s="178"/>
    </x:row>
    <x:row r="2" ht="34" customHeight="1">
      <x:c r="A2" s="180" t="str">
        <x:v>Maintain this mapping when a new GL account appears. Source signs are normalized into financial-statement presentation signs; monthly columns aggregate the governed PQ_Actuals landing zone automatically.</x:v>
      </x:c>
      <x:c r="B2" s="180"/>
      <x:c r="C2" s="180"/>
      <x:c r="D2" s="180"/>
      <x:c r="E2" s="180"/>
      <x:c r="F2" s="180"/>
      <x:c r="G2" s="180"/>
      <x:c r="H2" s="180"/>
      <x:c r="I2" s="180"/>
      <x:c r="J2" s="180"/>
      <x:c r="K2" s="180"/>
      <x:c r="L2" s="180"/>
      <x:c r="M2" s="180"/>
      <x:c r="N2" s="180"/>
      <x:c r="O2" s="180"/>
      <x:c r="P2" s="180"/>
      <x:c r="Q2" s="180"/>
      <x:c r="R2" s="180"/>
      <x:c r="S2" s="180"/>
      <x:c r="T2" s="180"/>
      <x:c r="U2" s="180"/>
    </x:row>
    <x:row r="4">
      <x:c r="A4" s="183" t="str">
        <x:v>Account Mapping &amp; Aggregation Logic</x:v>
      </x:c>
      <x:c r="B4" s="183"/>
      <x:c r="C4" s="183"/>
      <x:c r="D4" s="183"/>
      <x:c r="E4" s="183"/>
      <x:c r="F4" s="183"/>
      <x:c r="G4" s="183"/>
      <x:c r="H4" s="183"/>
      <x:c r="I4" s="183"/>
      <x:c r="J4" s="183"/>
      <x:c r="K4" s="183"/>
      <x:c r="L4" s="183"/>
      <x:c r="M4" s="183"/>
      <x:c r="N4" s="183"/>
      <x:c r="O4" s="183"/>
      <x:c r="P4" s="183"/>
      <x:c r="Q4" s="183"/>
      <x:c r="R4" s="183"/>
      <x:c r="S4" s="183"/>
      <x:c r="T4" s="183"/>
      <x:c r="U4" s="183"/>
    </x:row>
    <x:row r="5">
      <x:c r="A5" s="188" t="str">
        <x:v>Account Code</x:v>
      </x:c>
      <x:c r="B5" s="188" t="str">
        <x:v>Account Name</x:v>
      </x:c>
      <x:c r="C5" s="188" t="str">
        <x:v>Data Type</x:v>
      </x:c>
      <x:c r="D5" s="188" t="str">
        <x:v>Model Line</x:v>
      </x:c>
      <x:c r="E5" s="188" t="str">
        <x:v>Statement</x:v>
      </x:c>
      <x:c r="F5" s="188" t="str">
        <x:v>Sign Multiplier</x:v>
      </x:c>
      <x:c r="G5" s="188" t="str">
        <x:v>Aggregation</x:v>
      </x:c>
      <x:c r="H5" s="197" t="n">
        <x:v>46053</x:v>
      </x:c>
      <x:c r="I5" s="197" t="n">
        <x:v>46081</x:v>
      </x:c>
      <x:c r="J5" s="197" t="n">
        <x:v>46112</x:v>
      </x:c>
      <x:c r="K5" s="197" t="n">
        <x:v>46142</x:v>
      </x:c>
      <x:c r="L5" s="197" t="n">
        <x:v>46173</x:v>
      </x:c>
      <x:c r="M5" s="197" t="n">
        <x:v>46203</x:v>
      </x:c>
      <x:c r="N5" s="197" t="n">
        <x:v>46234</x:v>
      </x:c>
      <x:c r="O5" s="197" t="n">
        <x:v>46265</x:v>
      </x:c>
      <x:c r="P5" s="197" t="n">
        <x:v>46295</x:v>
      </x:c>
      <x:c r="Q5" s="197" t="n">
        <x:v>46326</x:v>
      </x:c>
      <x:c r="R5" s="197" t="n">
        <x:v>46356</x:v>
      </x:c>
      <x:c r="S5" s="197" t="n">
        <x:v>46387</x:v>
      </x:c>
      <x:c r="T5" s="188" t="str">
        <x:v>FY2026A</x:v>
      </x:c>
      <x:c r="U5" s="188" t="str">
        <x:v>Source Rows</x:v>
      </x:c>
    </x:row>
    <x:row r="6">
      <x:c r="A6" s="54" t="str">
        <x:v>4000</x:v>
      </x:c>
      <x:c r="B6" s="54" t="str">
        <x:v>Subscription Revenue</x:v>
      </x:c>
      <x:c r="C6" s="54" t="str">
        <x:v>P&amp;L Activity</x:v>
      </x:c>
      <x:c r="D6" s="54" t="str">
        <x:v>Revenue</x:v>
      </x:c>
      <x:c r="E6" s="54" t="str">
        <x:v>Income Statement</x:v>
      </x:c>
      <x:c r="F6" s="198" t="n">
        <x:v>-1</x:v>
      </x:c>
      <x:c r="G6" s="54" t="str">
        <x:v>Sum</x:v>
      </x:c>
      <x:c r="H6" s="199" t="n">
        <x:f>SUMIFS(PQ_Actuals!$F$6:$F$2005,PQ_Actuals!$B$6:$B$2005,$A6,PQ_Actuals!$A$6:$A$2005,H$5)*$F6</x:f>
        <x:v>1.42</x:v>
      </x:c>
      <x:c r="I6" s="199" t="n">
        <x:f>SUMIFS(PQ_Actuals!$F$6:$F$2005,PQ_Actuals!$B$6:$B$2005,$A6,PQ_Actuals!$A$6:$A$2005,I$5)*$F6</x:f>
        <x:v>1.46</x:v>
      </x:c>
      <x:c r="J6" s="199" t="n">
        <x:f>SUMIFS(PQ_Actuals!$F$6:$F$2005,PQ_Actuals!$B$6:$B$2005,$A6,PQ_Actuals!$A$6:$A$2005,J$5)*$F6</x:f>
        <x:v>1.5</x:v>
      </x:c>
      <x:c r="K6" s="199" t="n">
        <x:f>SUMIFS(PQ_Actuals!$F$6:$F$2005,PQ_Actuals!$B$6:$B$2005,$A6,PQ_Actuals!$A$6:$A$2005,K$5)*$F6</x:f>
        <x:v>1.54</x:v>
      </x:c>
      <x:c r="L6" s="199" t="n">
        <x:f>SUMIFS(PQ_Actuals!$F$6:$F$2005,PQ_Actuals!$B$6:$B$2005,$A6,PQ_Actuals!$A$6:$A$2005,L$5)*$F6</x:f>
        <x:v>1.58</x:v>
      </x:c>
      <x:c r="M6" s="199" t="n">
        <x:f>SUMIFS(PQ_Actuals!$F$6:$F$2005,PQ_Actuals!$B$6:$B$2005,$A6,PQ_Actuals!$A$6:$A$2005,M$5)*$F6</x:f>
        <x:v>1.62</x:v>
      </x:c>
      <x:c r="N6" s="199" t="n">
        <x:f>SUMIFS(PQ_Actuals!$F$6:$F$2005,PQ_Actuals!$B$6:$B$2005,$A6,PQ_Actuals!$A$6:$A$2005,N$5)*$F6</x:f>
        <x:v>1.66</x:v>
      </x:c>
      <x:c r="O6" s="199" t="n">
        <x:f>SUMIFS(PQ_Actuals!$F$6:$F$2005,PQ_Actuals!$B$6:$B$2005,$A6,PQ_Actuals!$A$6:$A$2005,O$5)*$F6</x:f>
        <x:v>1.7</x:v>
      </x:c>
      <x:c r="P6" s="199" t="n">
        <x:f>SUMIFS(PQ_Actuals!$F$6:$F$2005,PQ_Actuals!$B$6:$B$2005,$A6,PQ_Actuals!$A$6:$A$2005,P$5)*$F6</x:f>
        <x:v>1.74</x:v>
      </x:c>
      <x:c r="Q6" s="199" t="n">
        <x:f>SUMIFS(PQ_Actuals!$F$6:$F$2005,PQ_Actuals!$B$6:$B$2005,$A6,PQ_Actuals!$A$6:$A$2005,Q$5)*$F6</x:f>
        <x:v>1.78</x:v>
      </x:c>
      <x:c r="R6" s="199" t="n">
        <x:f>SUMIFS(PQ_Actuals!$F$6:$F$2005,PQ_Actuals!$B$6:$B$2005,$A6,PQ_Actuals!$A$6:$A$2005,R$5)*$F6</x:f>
        <x:v>1.92</x:v>
      </x:c>
      <x:c r="S6" s="199" t="n">
        <x:f>SUMIFS(PQ_Actuals!$F$6:$F$2005,PQ_Actuals!$B$6:$B$2005,$A6,PQ_Actuals!$A$6:$A$2005,S$5)*$F6</x:f>
        <x:v>2.08</x:v>
      </x:c>
      <x:c r="T6" s="199" t="n">
        <x:f>IF($G6="Ending Balance",S6,SUM(H6:S6))</x:f>
        <x:v>20</x:v>
      </x:c>
      <x:c r="U6" s="200" t="n">
        <x:f>COUNTIF(PQ_Actuals!$B$6:$B$2005,$A6)</x:f>
        <x:v>12</x:v>
      </x:c>
    </x:row>
    <x:row r="7">
      <x:c r="A7" s="54" t="str">
        <x:v>5000</x:v>
      </x:c>
      <x:c r="B7" s="54" t="str">
        <x:v>Hosting &amp; Service Delivery</x:v>
      </x:c>
      <x:c r="C7" s="54" t="str">
        <x:v>P&amp;L Activity</x:v>
      </x:c>
      <x:c r="D7" s="54" t="str">
        <x:v>COGS</x:v>
      </x:c>
      <x:c r="E7" s="54" t="str">
        <x:v>Income Statement</x:v>
      </x:c>
      <x:c r="F7" s="198" t="n">
        <x:v>1</x:v>
      </x:c>
      <x:c r="G7" s="54" t="str">
        <x:v>Sum</x:v>
      </x:c>
      <x:c r="H7" s="199" t="n">
        <x:f>SUMIFS(PQ_Actuals!$F$6:$F$2005,PQ_Actuals!$B$6:$B$2005,$A7,PQ_Actuals!$A$6:$A$2005,H$5)*$F7</x:f>
        <x:v>0.355</x:v>
      </x:c>
      <x:c r="I7" s="199" t="n">
        <x:f>SUMIFS(PQ_Actuals!$F$6:$F$2005,PQ_Actuals!$B$6:$B$2005,$A7,PQ_Actuals!$A$6:$A$2005,I$5)*$F7</x:f>
        <x:v>0.365</x:v>
      </x:c>
      <x:c r="J7" s="199" t="n">
        <x:f>SUMIFS(PQ_Actuals!$F$6:$F$2005,PQ_Actuals!$B$6:$B$2005,$A7,PQ_Actuals!$A$6:$A$2005,J$5)*$F7</x:f>
        <x:v>0.375</x:v>
      </x:c>
      <x:c r="K7" s="199" t="n">
        <x:f>SUMIFS(PQ_Actuals!$F$6:$F$2005,PQ_Actuals!$B$6:$B$2005,$A7,PQ_Actuals!$A$6:$A$2005,K$5)*$F7</x:f>
        <x:v>0.385</x:v>
      </x:c>
      <x:c r="L7" s="199" t="n">
        <x:f>SUMIFS(PQ_Actuals!$F$6:$F$2005,PQ_Actuals!$B$6:$B$2005,$A7,PQ_Actuals!$A$6:$A$2005,L$5)*$F7</x:f>
        <x:v>0.395</x:v>
      </x:c>
      <x:c r="M7" s="199" t="n">
        <x:f>SUMIFS(PQ_Actuals!$F$6:$F$2005,PQ_Actuals!$B$6:$B$2005,$A7,PQ_Actuals!$A$6:$A$2005,M$5)*$F7</x:f>
        <x:v>0.405</x:v>
      </x:c>
      <x:c r="N7" s="199" t="n">
        <x:f>SUMIFS(PQ_Actuals!$F$6:$F$2005,PQ_Actuals!$B$6:$B$2005,$A7,PQ_Actuals!$A$6:$A$2005,N$5)*$F7</x:f>
        <x:v>0.415</x:v>
      </x:c>
      <x:c r="O7" s="199" t="n">
        <x:f>SUMIFS(PQ_Actuals!$F$6:$F$2005,PQ_Actuals!$B$6:$B$2005,$A7,PQ_Actuals!$A$6:$A$2005,O$5)*$F7</x:f>
        <x:v>0.425</x:v>
      </x:c>
      <x:c r="P7" s="199" t="n">
        <x:f>SUMIFS(PQ_Actuals!$F$6:$F$2005,PQ_Actuals!$B$6:$B$2005,$A7,PQ_Actuals!$A$6:$A$2005,P$5)*$F7</x:f>
        <x:v>0.435</x:v>
      </x:c>
      <x:c r="Q7" s="199" t="n">
        <x:f>SUMIFS(PQ_Actuals!$F$6:$F$2005,PQ_Actuals!$B$6:$B$2005,$A7,PQ_Actuals!$A$6:$A$2005,Q$5)*$F7</x:f>
        <x:v>0.445</x:v>
      </x:c>
      <x:c r="R7" s="199" t="n">
        <x:f>SUMIFS(PQ_Actuals!$F$6:$F$2005,PQ_Actuals!$B$6:$B$2005,$A7,PQ_Actuals!$A$6:$A$2005,R$5)*$F7</x:f>
        <x:v>0.48</x:v>
      </x:c>
      <x:c r="S7" s="199" t="n">
        <x:f>SUMIFS(PQ_Actuals!$F$6:$F$2005,PQ_Actuals!$B$6:$B$2005,$A7,PQ_Actuals!$A$6:$A$2005,S$5)*$F7</x:f>
        <x:v>0.52</x:v>
      </x:c>
      <x:c r="T7" s="199" t="n">
        <x:f>IF($G7="Ending Balance",S7,SUM(H7:S7))</x:f>
        <x:v>5</x:v>
      </x:c>
      <x:c r="U7" s="200" t="n">
        <x:f>COUNTIF(PQ_Actuals!$B$6:$B$2005,$A7)</x:f>
        <x:v>12</x:v>
      </x:c>
    </x:row>
    <x:row r="8">
      <x:c r="A8" s="54" t="str">
        <x:v>6100</x:v>
      </x:c>
      <x:c r="B8" s="54" t="str">
        <x:v>Sales &amp; Marketing</x:v>
      </x:c>
      <x:c r="C8" s="54" t="str">
        <x:v>P&amp;L Activity</x:v>
      </x:c>
      <x:c r="D8" s="54" t="str">
        <x:v>Sales &amp; Marketing</x:v>
      </x:c>
      <x:c r="E8" s="54" t="str">
        <x:v>Income Statement</x:v>
      </x:c>
      <x:c r="F8" s="198" t="n">
        <x:v>1</x:v>
      </x:c>
      <x:c r="G8" s="54" t="str">
        <x:v>Sum</x:v>
      </x:c>
      <x:c r="H8" s="199" t="n">
        <x:f>SUMIFS(PQ_Actuals!$F$6:$F$2005,PQ_Actuals!$B$6:$B$2005,$A8,PQ_Actuals!$A$6:$A$2005,H$5)*$F8</x:f>
        <x:v>0.426</x:v>
      </x:c>
      <x:c r="I8" s="199" t="n">
        <x:f>SUMIFS(PQ_Actuals!$F$6:$F$2005,PQ_Actuals!$B$6:$B$2005,$A8,PQ_Actuals!$A$6:$A$2005,I$5)*$F8</x:f>
        <x:v>0.438</x:v>
      </x:c>
      <x:c r="J8" s="199" t="n">
        <x:f>SUMIFS(PQ_Actuals!$F$6:$F$2005,PQ_Actuals!$B$6:$B$2005,$A8,PQ_Actuals!$A$6:$A$2005,J$5)*$F8</x:f>
        <x:v>0.45</x:v>
      </x:c>
      <x:c r="K8" s="199" t="n">
        <x:f>SUMIFS(PQ_Actuals!$F$6:$F$2005,PQ_Actuals!$B$6:$B$2005,$A8,PQ_Actuals!$A$6:$A$2005,K$5)*$F8</x:f>
        <x:v>0.462</x:v>
      </x:c>
      <x:c r="L8" s="199" t="n">
        <x:f>SUMIFS(PQ_Actuals!$F$6:$F$2005,PQ_Actuals!$B$6:$B$2005,$A8,PQ_Actuals!$A$6:$A$2005,L$5)*$F8</x:f>
        <x:v>0.474</x:v>
      </x:c>
      <x:c r="M8" s="199" t="n">
        <x:f>SUMIFS(PQ_Actuals!$F$6:$F$2005,PQ_Actuals!$B$6:$B$2005,$A8,PQ_Actuals!$A$6:$A$2005,M$5)*$F8</x:f>
        <x:v>0.486</x:v>
      </x:c>
      <x:c r="N8" s="199" t="n">
        <x:f>SUMIFS(PQ_Actuals!$F$6:$F$2005,PQ_Actuals!$B$6:$B$2005,$A8,PQ_Actuals!$A$6:$A$2005,N$5)*$F8</x:f>
        <x:v>0.498</x:v>
      </x:c>
      <x:c r="O8" s="199" t="n">
        <x:f>SUMIFS(PQ_Actuals!$F$6:$F$2005,PQ_Actuals!$B$6:$B$2005,$A8,PQ_Actuals!$A$6:$A$2005,O$5)*$F8</x:f>
        <x:v>0.51</x:v>
      </x:c>
      <x:c r="P8" s="199" t="n">
        <x:f>SUMIFS(PQ_Actuals!$F$6:$F$2005,PQ_Actuals!$B$6:$B$2005,$A8,PQ_Actuals!$A$6:$A$2005,P$5)*$F8</x:f>
        <x:v>0.522</x:v>
      </x:c>
      <x:c r="Q8" s="199" t="n">
        <x:f>SUMIFS(PQ_Actuals!$F$6:$F$2005,PQ_Actuals!$B$6:$B$2005,$A8,PQ_Actuals!$A$6:$A$2005,Q$5)*$F8</x:f>
        <x:v>0.534</x:v>
      </x:c>
      <x:c r="R8" s="199" t="n">
        <x:f>SUMIFS(PQ_Actuals!$F$6:$F$2005,PQ_Actuals!$B$6:$B$2005,$A8,PQ_Actuals!$A$6:$A$2005,R$5)*$F8</x:f>
        <x:v>0.576</x:v>
      </x:c>
      <x:c r="S8" s="199" t="n">
        <x:f>SUMIFS(PQ_Actuals!$F$6:$F$2005,PQ_Actuals!$B$6:$B$2005,$A8,PQ_Actuals!$A$6:$A$2005,S$5)*$F8</x:f>
        <x:v>0.624</x:v>
      </x:c>
      <x:c r="T8" s="199" t="n">
        <x:f>IF($G8="Ending Balance",S8,SUM(H8:S8))</x:f>
        <x:v>5.999999999999999</x:v>
      </x:c>
      <x:c r="U8" s="200" t="n">
        <x:f>COUNTIF(PQ_Actuals!$B$6:$B$2005,$A8)</x:f>
        <x:v>12</x:v>
      </x:c>
    </x:row>
    <x:row r="9">
      <x:c r="A9" s="54" t="str">
        <x:v>6200</x:v>
      </x:c>
      <x:c r="B9" s="54" t="str">
        <x:v>Research &amp; Development</x:v>
      </x:c>
      <x:c r="C9" s="54" t="str">
        <x:v>P&amp;L Activity</x:v>
      </x:c>
      <x:c r="D9" s="54" t="str">
        <x:v>R&amp;D</x:v>
      </x:c>
      <x:c r="E9" s="54" t="str">
        <x:v>Income Statement</x:v>
      </x:c>
      <x:c r="F9" s="198" t="n">
        <x:v>1</x:v>
      </x:c>
      <x:c r="G9" s="54" t="str">
        <x:v>Sum</x:v>
      </x:c>
      <x:c r="H9" s="199" t="n">
        <x:f>SUMIFS(PQ_Actuals!$F$6:$F$2005,PQ_Actuals!$B$6:$B$2005,$A9,PQ_Actuals!$A$6:$A$2005,H$5)*$F9</x:f>
        <x:v>0.2556</x:v>
      </x:c>
      <x:c r="I9" s="199" t="n">
        <x:f>SUMIFS(PQ_Actuals!$F$6:$F$2005,PQ_Actuals!$B$6:$B$2005,$A9,PQ_Actuals!$A$6:$A$2005,I$5)*$F9</x:f>
        <x:v>0.2628</x:v>
      </x:c>
      <x:c r="J9" s="199" t="n">
        <x:f>SUMIFS(PQ_Actuals!$F$6:$F$2005,PQ_Actuals!$B$6:$B$2005,$A9,PQ_Actuals!$A$6:$A$2005,J$5)*$F9</x:f>
        <x:v>0.27</x:v>
      </x:c>
      <x:c r="K9" s="199" t="n">
        <x:f>SUMIFS(PQ_Actuals!$F$6:$F$2005,PQ_Actuals!$B$6:$B$2005,$A9,PQ_Actuals!$A$6:$A$2005,K$5)*$F9</x:f>
        <x:v>0.2772</x:v>
      </x:c>
      <x:c r="L9" s="199" t="n">
        <x:f>SUMIFS(PQ_Actuals!$F$6:$F$2005,PQ_Actuals!$B$6:$B$2005,$A9,PQ_Actuals!$A$6:$A$2005,L$5)*$F9</x:f>
        <x:v>0.2844</x:v>
      </x:c>
      <x:c r="M9" s="199" t="n">
        <x:f>SUMIFS(PQ_Actuals!$F$6:$F$2005,PQ_Actuals!$B$6:$B$2005,$A9,PQ_Actuals!$A$6:$A$2005,M$5)*$F9</x:f>
        <x:v>0.2916</x:v>
      </x:c>
      <x:c r="N9" s="199" t="n">
        <x:f>SUMIFS(PQ_Actuals!$F$6:$F$2005,PQ_Actuals!$B$6:$B$2005,$A9,PQ_Actuals!$A$6:$A$2005,N$5)*$F9</x:f>
        <x:v>0.2988</x:v>
      </x:c>
      <x:c r="O9" s="199" t="n">
        <x:f>SUMIFS(PQ_Actuals!$F$6:$F$2005,PQ_Actuals!$B$6:$B$2005,$A9,PQ_Actuals!$A$6:$A$2005,O$5)*$F9</x:f>
        <x:v>0.306</x:v>
      </x:c>
      <x:c r="P9" s="199" t="n">
        <x:f>SUMIFS(PQ_Actuals!$F$6:$F$2005,PQ_Actuals!$B$6:$B$2005,$A9,PQ_Actuals!$A$6:$A$2005,P$5)*$F9</x:f>
        <x:v>0.3132</x:v>
      </x:c>
      <x:c r="Q9" s="199" t="n">
        <x:f>SUMIFS(PQ_Actuals!$F$6:$F$2005,PQ_Actuals!$B$6:$B$2005,$A9,PQ_Actuals!$A$6:$A$2005,Q$5)*$F9</x:f>
        <x:v>0.3204</x:v>
      </x:c>
      <x:c r="R9" s="199" t="n">
        <x:f>SUMIFS(PQ_Actuals!$F$6:$F$2005,PQ_Actuals!$B$6:$B$2005,$A9,PQ_Actuals!$A$6:$A$2005,R$5)*$F9</x:f>
        <x:v>0.3456</x:v>
      </x:c>
      <x:c r="S9" s="199" t="n">
        <x:f>SUMIFS(PQ_Actuals!$F$6:$F$2005,PQ_Actuals!$B$6:$B$2005,$A9,PQ_Actuals!$A$6:$A$2005,S$5)*$F9</x:f>
        <x:v>0.3744</x:v>
      </x:c>
      <x:c r="T9" s="199" t="n">
        <x:f>IF($G9="Ending Balance",S9,SUM(H9:S9))</x:f>
        <x:v>3.6</x:v>
      </x:c>
      <x:c r="U9" s="200" t="n">
        <x:f>COUNTIF(PQ_Actuals!$B$6:$B$2005,$A9)</x:f>
        <x:v>12</x:v>
      </x:c>
    </x:row>
    <x:row r="10">
      <x:c r="A10" s="54" t="str">
        <x:v>6300</x:v>
      </x:c>
      <x:c r="B10" s="54" t="str">
        <x:v>General &amp; Administrative</x:v>
      </x:c>
      <x:c r="C10" s="54" t="str">
        <x:v>P&amp;L Activity</x:v>
      </x:c>
      <x:c r="D10" s="54" t="str">
        <x:v>G&amp;A</x:v>
      </x:c>
      <x:c r="E10" s="54" t="str">
        <x:v>Income Statement</x:v>
      </x:c>
      <x:c r="F10" s="198" t="n">
        <x:v>1</x:v>
      </x:c>
      <x:c r="G10" s="54" t="str">
        <x:v>Sum</x:v>
      </x:c>
      <x:c r="H10" s="199" t="n">
        <x:f>SUMIFS(PQ_Actuals!$F$6:$F$2005,PQ_Actuals!$B$6:$B$2005,$A10,PQ_Actuals!$A$6:$A$2005,H$5)*$F10</x:f>
        <x:v>0.213</x:v>
      </x:c>
      <x:c r="I10" s="199" t="n">
        <x:f>SUMIFS(PQ_Actuals!$F$6:$F$2005,PQ_Actuals!$B$6:$B$2005,$A10,PQ_Actuals!$A$6:$A$2005,I$5)*$F10</x:f>
        <x:v>0.219</x:v>
      </x:c>
      <x:c r="J10" s="199" t="n">
        <x:f>SUMIFS(PQ_Actuals!$F$6:$F$2005,PQ_Actuals!$B$6:$B$2005,$A10,PQ_Actuals!$A$6:$A$2005,J$5)*$F10</x:f>
        <x:v>0.225</x:v>
      </x:c>
      <x:c r="K10" s="199" t="n">
        <x:f>SUMIFS(PQ_Actuals!$F$6:$F$2005,PQ_Actuals!$B$6:$B$2005,$A10,PQ_Actuals!$A$6:$A$2005,K$5)*$F10</x:f>
        <x:v>0.231</x:v>
      </x:c>
      <x:c r="L10" s="199" t="n">
        <x:f>SUMIFS(PQ_Actuals!$F$6:$F$2005,PQ_Actuals!$B$6:$B$2005,$A10,PQ_Actuals!$A$6:$A$2005,L$5)*$F10</x:f>
        <x:v>0.237</x:v>
      </x:c>
      <x:c r="M10" s="199" t="n">
        <x:f>SUMIFS(PQ_Actuals!$F$6:$F$2005,PQ_Actuals!$B$6:$B$2005,$A10,PQ_Actuals!$A$6:$A$2005,M$5)*$F10</x:f>
        <x:v>0.243</x:v>
      </x:c>
      <x:c r="N10" s="199" t="n">
        <x:f>SUMIFS(PQ_Actuals!$F$6:$F$2005,PQ_Actuals!$B$6:$B$2005,$A10,PQ_Actuals!$A$6:$A$2005,N$5)*$F10</x:f>
        <x:v>0.249</x:v>
      </x:c>
      <x:c r="O10" s="199" t="n">
        <x:f>SUMIFS(PQ_Actuals!$F$6:$F$2005,PQ_Actuals!$B$6:$B$2005,$A10,PQ_Actuals!$A$6:$A$2005,O$5)*$F10</x:f>
        <x:v>0.255</x:v>
      </x:c>
      <x:c r="P10" s="199" t="n">
        <x:f>SUMIFS(PQ_Actuals!$F$6:$F$2005,PQ_Actuals!$B$6:$B$2005,$A10,PQ_Actuals!$A$6:$A$2005,P$5)*$F10</x:f>
        <x:v>0.261</x:v>
      </x:c>
      <x:c r="Q10" s="199" t="n">
        <x:f>SUMIFS(PQ_Actuals!$F$6:$F$2005,PQ_Actuals!$B$6:$B$2005,$A10,PQ_Actuals!$A$6:$A$2005,Q$5)*$F10</x:f>
        <x:v>0.267</x:v>
      </x:c>
      <x:c r="R10" s="199" t="n">
        <x:f>SUMIFS(PQ_Actuals!$F$6:$F$2005,PQ_Actuals!$B$6:$B$2005,$A10,PQ_Actuals!$A$6:$A$2005,R$5)*$F10</x:f>
        <x:v>0.288</x:v>
      </x:c>
      <x:c r="S10" s="199" t="n">
        <x:f>SUMIFS(PQ_Actuals!$F$6:$F$2005,PQ_Actuals!$B$6:$B$2005,$A10,PQ_Actuals!$A$6:$A$2005,S$5)*$F10</x:f>
        <x:v>0.312</x:v>
      </x:c>
      <x:c r="T10" s="199" t="n">
        <x:f>IF($G10="Ending Balance",S10,SUM(H10:S10))</x:f>
        <x:v>2.9999999999999996</x:v>
      </x:c>
      <x:c r="U10" s="200" t="n">
        <x:f>COUNTIF(PQ_Actuals!$B$6:$B$2005,$A10)</x:f>
        <x:v>12</x:v>
      </x:c>
    </x:row>
    <x:row r="11">
      <x:c r="A11" s="54" t="str">
        <x:v>7000</x:v>
      </x:c>
      <x:c r="B11" s="54" t="str">
        <x:v>Depreciation &amp; Amortization</x:v>
      </x:c>
      <x:c r="C11" s="54" t="str">
        <x:v>P&amp;L Activity</x:v>
      </x:c>
      <x:c r="D11" s="54" t="str">
        <x:v>D&amp;A</x:v>
      </x:c>
      <x:c r="E11" s="54" t="str">
        <x:v>Income Statement</x:v>
      </x:c>
      <x:c r="F11" s="198" t="n">
        <x:v>1</x:v>
      </x:c>
      <x:c r="G11" s="54" t="str">
        <x:v>Sum</x:v>
      </x:c>
      <x:c r="H11" s="199" t="n">
        <x:f>SUMIFS(PQ_Actuals!$F$6:$F$2005,PQ_Actuals!$B$6:$B$2005,$A11,PQ_Actuals!$A$6:$A$2005,H$5)*$F11</x:f>
        <x:v>0.0284</x:v>
      </x:c>
      <x:c r="I11" s="199" t="n">
        <x:f>SUMIFS(PQ_Actuals!$F$6:$F$2005,PQ_Actuals!$B$6:$B$2005,$A11,PQ_Actuals!$A$6:$A$2005,I$5)*$F11</x:f>
        <x:v>0.0292</x:v>
      </x:c>
      <x:c r="J11" s="199" t="n">
        <x:f>SUMIFS(PQ_Actuals!$F$6:$F$2005,PQ_Actuals!$B$6:$B$2005,$A11,PQ_Actuals!$A$6:$A$2005,J$5)*$F11</x:f>
        <x:v>0.03</x:v>
      </x:c>
      <x:c r="K11" s="199" t="n">
        <x:f>SUMIFS(PQ_Actuals!$F$6:$F$2005,PQ_Actuals!$B$6:$B$2005,$A11,PQ_Actuals!$A$6:$A$2005,K$5)*$F11</x:f>
        <x:v>0.0308</x:v>
      </x:c>
      <x:c r="L11" s="199" t="n">
        <x:f>SUMIFS(PQ_Actuals!$F$6:$F$2005,PQ_Actuals!$B$6:$B$2005,$A11,PQ_Actuals!$A$6:$A$2005,L$5)*$F11</x:f>
        <x:v>0.0316</x:v>
      </x:c>
      <x:c r="M11" s="199" t="n">
        <x:f>SUMIFS(PQ_Actuals!$F$6:$F$2005,PQ_Actuals!$B$6:$B$2005,$A11,PQ_Actuals!$A$6:$A$2005,M$5)*$F11</x:f>
        <x:v>0.0324</x:v>
      </x:c>
      <x:c r="N11" s="199" t="n">
        <x:f>SUMIFS(PQ_Actuals!$F$6:$F$2005,PQ_Actuals!$B$6:$B$2005,$A11,PQ_Actuals!$A$6:$A$2005,N$5)*$F11</x:f>
        <x:v>0.0332</x:v>
      </x:c>
      <x:c r="O11" s="199" t="n">
        <x:f>SUMIFS(PQ_Actuals!$F$6:$F$2005,PQ_Actuals!$B$6:$B$2005,$A11,PQ_Actuals!$A$6:$A$2005,O$5)*$F11</x:f>
        <x:v>0.034</x:v>
      </x:c>
      <x:c r="P11" s="199" t="n">
        <x:f>SUMIFS(PQ_Actuals!$F$6:$F$2005,PQ_Actuals!$B$6:$B$2005,$A11,PQ_Actuals!$A$6:$A$2005,P$5)*$F11</x:f>
        <x:v>0.0348</x:v>
      </x:c>
      <x:c r="Q11" s="199" t="n">
        <x:f>SUMIFS(PQ_Actuals!$F$6:$F$2005,PQ_Actuals!$B$6:$B$2005,$A11,PQ_Actuals!$A$6:$A$2005,Q$5)*$F11</x:f>
        <x:v>0.0356</x:v>
      </x:c>
      <x:c r="R11" s="199" t="n">
        <x:f>SUMIFS(PQ_Actuals!$F$6:$F$2005,PQ_Actuals!$B$6:$B$2005,$A11,PQ_Actuals!$A$6:$A$2005,R$5)*$F11</x:f>
        <x:v>0.0384</x:v>
      </x:c>
      <x:c r="S11" s="199" t="n">
        <x:f>SUMIFS(PQ_Actuals!$F$6:$F$2005,PQ_Actuals!$B$6:$B$2005,$A11,PQ_Actuals!$A$6:$A$2005,S$5)*$F11</x:f>
        <x:v>0.0416</x:v>
      </x:c>
      <x:c r="T11" s="199" t="n">
        <x:f>IF($G11="Ending Balance",S11,SUM(H11:S11))</x:f>
        <x:v>0.4</x:v>
      </x:c>
      <x:c r="U11" s="200" t="n">
        <x:f>COUNTIF(PQ_Actuals!$B$6:$B$2005,$A11)</x:f>
        <x:v>12</x:v>
      </x:c>
    </x:row>
    <x:row r="12">
      <x:c r="A12" s="54" t="str">
        <x:v>7100</x:v>
      </x:c>
      <x:c r="B12" s="54" t="str">
        <x:v>Interest Expense</x:v>
      </x:c>
      <x:c r="C12" s="54" t="str">
        <x:v>P&amp;L Activity</x:v>
      </x:c>
      <x:c r="D12" s="54" t="str">
        <x:v>Interest Expense</x:v>
      </x:c>
      <x:c r="E12" s="54" t="str">
        <x:v>Income Statement</x:v>
      </x:c>
      <x:c r="F12" s="198" t="n">
        <x:v>1</x:v>
      </x:c>
      <x:c r="G12" s="54" t="str">
        <x:v>Sum</x:v>
      </x:c>
      <x:c r="H12" s="199" t="n">
        <x:f>SUMIFS(PQ_Actuals!$F$6:$F$2005,PQ_Actuals!$B$6:$B$2005,$A12,PQ_Actuals!$A$6:$A$2005,H$5)*$F12</x:f>
        <x:v>0.0213</x:v>
      </x:c>
      <x:c r="I12" s="199" t="n">
        <x:f>SUMIFS(PQ_Actuals!$F$6:$F$2005,PQ_Actuals!$B$6:$B$2005,$A12,PQ_Actuals!$A$6:$A$2005,I$5)*$F12</x:f>
        <x:v>0.0219</x:v>
      </x:c>
      <x:c r="J12" s="199" t="n">
        <x:f>SUMIFS(PQ_Actuals!$F$6:$F$2005,PQ_Actuals!$B$6:$B$2005,$A12,PQ_Actuals!$A$6:$A$2005,J$5)*$F12</x:f>
        <x:v>0.0225</x:v>
      </x:c>
      <x:c r="K12" s="199" t="n">
        <x:f>SUMIFS(PQ_Actuals!$F$6:$F$2005,PQ_Actuals!$B$6:$B$2005,$A12,PQ_Actuals!$A$6:$A$2005,K$5)*$F12</x:f>
        <x:v>0.0231</x:v>
      </x:c>
      <x:c r="L12" s="199" t="n">
        <x:f>SUMIFS(PQ_Actuals!$F$6:$F$2005,PQ_Actuals!$B$6:$B$2005,$A12,PQ_Actuals!$A$6:$A$2005,L$5)*$F12</x:f>
        <x:v>0.0237</x:v>
      </x:c>
      <x:c r="M12" s="199" t="n">
        <x:f>SUMIFS(PQ_Actuals!$F$6:$F$2005,PQ_Actuals!$B$6:$B$2005,$A12,PQ_Actuals!$A$6:$A$2005,M$5)*$F12</x:f>
        <x:v>0.0243</x:v>
      </x:c>
      <x:c r="N12" s="199" t="n">
        <x:f>SUMIFS(PQ_Actuals!$F$6:$F$2005,PQ_Actuals!$B$6:$B$2005,$A12,PQ_Actuals!$A$6:$A$2005,N$5)*$F12</x:f>
        <x:v>0.0249</x:v>
      </x:c>
      <x:c r="O12" s="199" t="n">
        <x:f>SUMIFS(PQ_Actuals!$F$6:$F$2005,PQ_Actuals!$B$6:$B$2005,$A12,PQ_Actuals!$A$6:$A$2005,O$5)*$F12</x:f>
        <x:v>0.0255</x:v>
      </x:c>
      <x:c r="P12" s="199" t="n">
        <x:f>SUMIFS(PQ_Actuals!$F$6:$F$2005,PQ_Actuals!$B$6:$B$2005,$A12,PQ_Actuals!$A$6:$A$2005,P$5)*$F12</x:f>
        <x:v>0.0261</x:v>
      </x:c>
      <x:c r="Q12" s="199" t="n">
        <x:f>SUMIFS(PQ_Actuals!$F$6:$F$2005,PQ_Actuals!$B$6:$B$2005,$A12,PQ_Actuals!$A$6:$A$2005,Q$5)*$F12</x:f>
        <x:v>0.0267</x:v>
      </x:c>
      <x:c r="R12" s="199" t="n">
        <x:f>SUMIFS(PQ_Actuals!$F$6:$F$2005,PQ_Actuals!$B$6:$B$2005,$A12,PQ_Actuals!$A$6:$A$2005,R$5)*$F12</x:f>
        <x:v>0.0288</x:v>
      </x:c>
      <x:c r="S12" s="199" t="n">
        <x:f>SUMIFS(PQ_Actuals!$F$6:$F$2005,PQ_Actuals!$B$6:$B$2005,$A12,PQ_Actuals!$A$6:$A$2005,S$5)*$F12</x:f>
        <x:v>0.0312</x:v>
      </x:c>
      <x:c r="T12" s="199" t="n">
        <x:f>IF($G12="Ending Balance",S12,SUM(H12:S12))</x:f>
        <x:v>0.30000000000000004</x:v>
      </x:c>
      <x:c r="U12" s="200" t="n">
        <x:f>COUNTIF(PQ_Actuals!$B$6:$B$2005,$A12)</x:f>
        <x:v>12</x:v>
      </x:c>
    </x:row>
    <x:row r="13">
      <x:c r="A13" s="54" t="str">
        <x:v>7200</x:v>
      </x:c>
      <x:c r="B13" s="54" t="str">
        <x:v>Income Taxes</x:v>
      </x:c>
      <x:c r="C13" s="54" t="str">
        <x:v>P&amp;L Activity</x:v>
      </x:c>
      <x:c r="D13" s="54" t="str">
        <x:v>Taxes</x:v>
      </x:c>
      <x:c r="E13" s="54" t="str">
        <x:v>Income Statement</x:v>
      </x:c>
      <x:c r="F13" s="198" t="n">
        <x:v>1</x:v>
      </x:c>
      <x:c r="G13" s="54" t="str">
        <x:v>Sum</x:v>
      </x:c>
      <x:c r="H13" s="199" t="n">
        <x:f>SUMIFS(PQ_Actuals!$F$6:$F$2005,PQ_Actuals!$B$6:$B$2005,$A13,PQ_Actuals!$A$6:$A$2005,H$5)*$F13</x:f>
        <x:v>0.030175</x:v>
      </x:c>
      <x:c r="I13" s="199" t="n">
        <x:f>SUMIFS(PQ_Actuals!$F$6:$F$2005,PQ_Actuals!$B$6:$B$2005,$A13,PQ_Actuals!$A$6:$A$2005,I$5)*$F13</x:f>
        <x:v>0.031025</x:v>
      </x:c>
      <x:c r="J13" s="199" t="n">
        <x:f>SUMIFS(PQ_Actuals!$F$6:$F$2005,PQ_Actuals!$B$6:$B$2005,$A13,PQ_Actuals!$A$6:$A$2005,J$5)*$F13</x:f>
        <x:v>0.031875</x:v>
      </x:c>
      <x:c r="K13" s="199" t="n">
        <x:f>SUMIFS(PQ_Actuals!$F$6:$F$2005,PQ_Actuals!$B$6:$B$2005,$A13,PQ_Actuals!$A$6:$A$2005,K$5)*$F13</x:f>
        <x:v>0.032725</x:v>
      </x:c>
      <x:c r="L13" s="199" t="n">
        <x:f>SUMIFS(PQ_Actuals!$F$6:$F$2005,PQ_Actuals!$B$6:$B$2005,$A13,PQ_Actuals!$A$6:$A$2005,L$5)*$F13</x:f>
        <x:v>0.033575</x:v>
      </x:c>
      <x:c r="M13" s="199" t="n">
        <x:f>SUMIFS(PQ_Actuals!$F$6:$F$2005,PQ_Actuals!$B$6:$B$2005,$A13,PQ_Actuals!$A$6:$A$2005,M$5)*$F13</x:f>
        <x:v>0.034425</x:v>
      </x:c>
      <x:c r="N13" s="199" t="n">
        <x:f>SUMIFS(PQ_Actuals!$F$6:$F$2005,PQ_Actuals!$B$6:$B$2005,$A13,PQ_Actuals!$A$6:$A$2005,N$5)*$F13</x:f>
        <x:v>0.035275</x:v>
      </x:c>
      <x:c r="O13" s="199" t="n">
        <x:f>SUMIFS(PQ_Actuals!$F$6:$F$2005,PQ_Actuals!$B$6:$B$2005,$A13,PQ_Actuals!$A$6:$A$2005,O$5)*$F13</x:f>
        <x:v>0.036125</x:v>
      </x:c>
      <x:c r="P13" s="199" t="n">
        <x:f>SUMIFS(PQ_Actuals!$F$6:$F$2005,PQ_Actuals!$B$6:$B$2005,$A13,PQ_Actuals!$A$6:$A$2005,P$5)*$F13</x:f>
        <x:v>0.036975</x:v>
      </x:c>
      <x:c r="Q13" s="199" t="n">
        <x:f>SUMIFS(PQ_Actuals!$F$6:$F$2005,PQ_Actuals!$B$6:$B$2005,$A13,PQ_Actuals!$A$6:$A$2005,Q$5)*$F13</x:f>
        <x:v>0.037825</x:v>
      </x:c>
      <x:c r="R13" s="199" t="n">
        <x:f>SUMIFS(PQ_Actuals!$F$6:$F$2005,PQ_Actuals!$B$6:$B$2005,$A13,PQ_Actuals!$A$6:$A$2005,R$5)*$F13</x:f>
        <x:v>0.0408</x:v>
      </x:c>
      <x:c r="S13" s="199" t="n">
        <x:f>SUMIFS(PQ_Actuals!$F$6:$F$2005,PQ_Actuals!$B$6:$B$2005,$A13,PQ_Actuals!$A$6:$A$2005,S$5)*$F13</x:f>
        <x:v>0.0442</x:v>
      </x:c>
      <x:c r="T13" s="199" t="n">
        <x:f>IF($G13="Ending Balance",S13,SUM(H13:S13))</x:f>
        <x:v>0.425</x:v>
      </x:c>
      <x:c r="U13" s="200" t="n">
        <x:f>COUNTIF(PQ_Actuals!$B$6:$B$2005,$A13)</x:f>
        <x:v>12</x:v>
      </x:c>
    </x:row>
    <x:row r="14">
      <x:c r="A14" s="54" t="str">
        <x:v>1000</x:v>
      </x:c>
      <x:c r="B14" s="54" t="str">
        <x:v>Cash &amp; Cash Equivalents</x:v>
      </x:c>
      <x:c r="C14" s="54" t="str">
        <x:v>BS Snapshot</x:v>
      </x:c>
      <x:c r="D14" s="54" t="str">
        <x:v>Cash</x:v>
      </x:c>
      <x:c r="E14" s="54" t="str">
        <x:v>Balance Sheet</x:v>
      </x:c>
      <x:c r="F14" s="198" t="n">
        <x:v>1</x:v>
      </x:c>
      <x:c r="G14" s="54" t="str">
        <x:v>Ending Balance</x:v>
      </x:c>
      <x:c r="H14" s="199" t="n">
        <x:f>SUMIFS(PQ_Actuals!$F$6:$F$2005,PQ_Actuals!$B$6:$B$2005,$A14,PQ_Actuals!$A$6:$A$2005,H$5)*$F14</x:f>
        <x:v>3.404167</x:v>
      </x:c>
      <x:c r="I14" s="199" t="n">
        <x:f>SUMIFS(PQ_Actuals!$F$6:$F$2005,PQ_Actuals!$B$6:$B$2005,$A14,PQ_Actuals!$A$6:$A$2005,I$5)*$F14</x:f>
        <x:v>3.458333</x:v>
      </x:c>
      <x:c r="J14" s="199" t="n">
        <x:f>SUMIFS(PQ_Actuals!$F$6:$F$2005,PQ_Actuals!$B$6:$B$2005,$A14,PQ_Actuals!$A$6:$A$2005,J$5)*$F14</x:f>
        <x:v>3.5125</x:v>
      </x:c>
      <x:c r="K14" s="199" t="n">
        <x:f>SUMIFS(PQ_Actuals!$F$6:$F$2005,PQ_Actuals!$B$6:$B$2005,$A14,PQ_Actuals!$A$6:$A$2005,K$5)*$F14</x:f>
        <x:v>3.566667</x:v>
      </x:c>
      <x:c r="L14" s="199" t="n">
        <x:f>SUMIFS(PQ_Actuals!$F$6:$F$2005,PQ_Actuals!$B$6:$B$2005,$A14,PQ_Actuals!$A$6:$A$2005,L$5)*$F14</x:f>
        <x:v>3.620833</x:v>
      </x:c>
      <x:c r="M14" s="199" t="n">
        <x:f>SUMIFS(PQ_Actuals!$F$6:$F$2005,PQ_Actuals!$B$6:$B$2005,$A14,PQ_Actuals!$A$6:$A$2005,M$5)*$F14</x:f>
        <x:v>3.675</x:v>
      </x:c>
      <x:c r="N14" s="199" t="n">
        <x:f>SUMIFS(PQ_Actuals!$F$6:$F$2005,PQ_Actuals!$B$6:$B$2005,$A14,PQ_Actuals!$A$6:$A$2005,N$5)*$F14</x:f>
        <x:v>3.729167</x:v>
      </x:c>
      <x:c r="O14" s="199" t="n">
        <x:f>SUMIFS(PQ_Actuals!$F$6:$F$2005,PQ_Actuals!$B$6:$B$2005,$A14,PQ_Actuals!$A$6:$A$2005,O$5)*$F14</x:f>
        <x:v>3.783333</x:v>
      </x:c>
      <x:c r="P14" s="199" t="n">
        <x:f>SUMIFS(PQ_Actuals!$F$6:$F$2005,PQ_Actuals!$B$6:$B$2005,$A14,PQ_Actuals!$A$6:$A$2005,P$5)*$F14</x:f>
        <x:v>3.8375</x:v>
      </x:c>
      <x:c r="Q14" s="199" t="n">
        <x:f>SUMIFS(PQ_Actuals!$F$6:$F$2005,PQ_Actuals!$B$6:$B$2005,$A14,PQ_Actuals!$A$6:$A$2005,Q$5)*$F14</x:f>
        <x:v>3.891667</x:v>
      </x:c>
      <x:c r="R14" s="199" t="n">
        <x:f>SUMIFS(PQ_Actuals!$F$6:$F$2005,PQ_Actuals!$B$6:$B$2005,$A14,PQ_Actuals!$A$6:$A$2005,R$5)*$F14</x:f>
        <x:v>3.945833</x:v>
      </x:c>
      <x:c r="S14" s="199" t="n">
        <x:f>SUMIFS(PQ_Actuals!$F$6:$F$2005,PQ_Actuals!$B$6:$B$2005,$A14,PQ_Actuals!$A$6:$A$2005,S$5)*$F14</x:f>
        <x:v>4</x:v>
      </x:c>
      <x:c r="T14" s="199" t="n">
        <x:f>IF($G14="Ending Balance",S14,SUM(H14:S14))</x:f>
        <x:v>4</x:v>
      </x:c>
      <x:c r="U14" s="200" t="n">
        <x:f>COUNTIF(PQ_Actuals!$B$6:$B$2005,$A14)</x:f>
        <x:v>12</x:v>
      </x:c>
    </x:row>
    <x:row r="15">
      <x:c r="A15" s="54" t="str">
        <x:v>1100</x:v>
      </x:c>
      <x:c r="B15" s="54" t="str">
        <x:v>Accounts Receivable</x:v>
      </x:c>
      <x:c r="C15" s="54" t="str">
        <x:v>BS Snapshot</x:v>
      </x:c>
      <x:c r="D15" s="54" t="str">
        <x:v>Accounts Receivable</x:v>
      </x:c>
      <x:c r="E15" s="54" t="str">
        <x:v>Balance Sheet</x:v>
      </x:c>
      <x:c r="F15" s="198" t="n">
        <x:v>1</x:v>
      </x:c>
      <x:c r="G15" s="54" t="str">
        <x:v>Ending Balance</x:v>
      </x:c>
      <x:c r="H15" s="199" t="n">
        <x:f>SUMIFS(PQ_Actuals!$F$6:$F$2005,PQ_Actuals!$B$6:$B$2005,$A15,PQ_Actuals!$A$6:$A$2005,H$5)*$F15</x:f>
        <x:v>2.130479</x:v>
      </x:c>
      <x:c r="I15" s="199" t="n">
        <x:f>SUMIFS(PQ_Actuals!$F$6:$F$2005,PQ_Actuals!$B$6:$B$2005,$A15,PQ_Actuals!$A$6:$A$2005,I$5)*$F15</x:f>
        <x:v>2.160959</x:v>
      </x:c>
      <x:c r="J15" s="199" t="n">
        <x:f>SUMIFS(PQ_Actuals!$F$6:$F$2005,PQ_Actuals!$B$6:$B$2005,$A15,PQ_Actuals!$A$6:$A$2005,J$5)*$F15</x:f>
        <x:v>2.191438</x:v>
      </x:c>
      <x:c r="K15" s="199" t="n">
        <x:f>SUMIFS(PQ_Actuals!$F$6:$F$2005,PQ_Actuals!$B$6:$B$2005,$A15,PQ_Actuals!$A$6:$A$2005,K$5)*$F15</x:f>
        <x:v>2.221918</x:v>
      </x:c>
      <x:c r="L15" s="199" t="n">
        <x:f>SUMIFS(PQ_Actuals!$F$6:$F$2005,PQ_Actuals!$B$6:$B$2005,$A15,PQ_Actuals!$A$6:$A$2005,L$5)*$F15</x:f>
        <x:v>2.252397</x:v>
      </x:c>
      <x:c r="M15" s="199" t="n">
        <x:f>SUMIFS(PQ_Actuals!$F$6:$F$2005,PQ_Actuals!$B$6:$B$2005,$A15,PQ_Actuals!$A$6:$A$2005,M$5)*$F15</x:f>
        <x:v>2.282877</x:v>
      </x:c>
      <x:c r="N15" s="199" t="n">
        <x:f>SUMIFS(PQ_Actuals!$F$6:$F$2005,PQ_Actuals!$B$6:$B$2005,$A15,PQ_Actuals!$A$6:$A$2005,N$5)*$F15</x:f>
        <x:v>2.313356</x:v>
      </x:c>
      <x:c r="O15" s="199" t="n">
        <x:f>SUMIFS(PQ_Actuals!$F$6:$F$2005,PQ_Actuals!$B$6:$B$2005,$A15,PQ_Actuals!$A$6:$A$2005,O$5)*$F15</x:f>
        <x:v>2.343836</x:v>
      </x:c>
      <x:c r="P15" s="199" t="n">
        <x:f>SUMIFS(PQ_Actuals!$F$6:$F$2005,PQ_Actuals!$B$6:$B$2005,$A15,PQ_Actuals!$A$6:$A$2005,P$5)*$F15</x:f>
        <x:v>2.374315</x:v>
      </x:c>
      <x:c r="Q15" s="199" t="n">
        <x:f>SUMIFS(PQ_Actuals!$F$6:$F$2005,PQ_Actuals!$B$6:$B$2005,$A15,PQ_Actuals!$A$6:$A$2005,Q$5)*$F15</x:f>
        <x:v>2.404795</x:v>
      </x:c>
      <x:c r="R15" s="199" t="n">
        <x:f>SUMIFS(PQ_Actuals!$F$6:$F$2005,PQ_Actuals!$B$6:$B$2005,$A15,PQ_Actuals!$A$6:$A$2005,R$5)*$F15</x:f>
        <x:v>2.435274</x:v>
      </x:c>
      <x:c r="S15" s="199" t="n">
        <x:f>SUMIFS(PQ_Actuals!$F$6:$F$2005,PQ_Actuals!$B$6:$B$2005,$A15,PQ_Actuals!$A$6:$A$2005,S$5)*$F15</x:f>
        <x:v>2.4657534246575343</x:v>
      </x:c>
      <x:c r="T15" s="199" t="n">
        <x:f>IF($G15="Ending Balance",S15,SUM(H15:S15))</x:f>
        <x:v>2.4657534246575343</x:v>
      </x:c>
      <x:c r="U15" s="200" t="n">
        <x:f>COUNTIF(PQ_Actuals!$B$6:$B$2005,$A15)</x:f>
        <x:v>12</x:v>
      </x:c>
    </x:row>
    <x:row r="16">
      <x:c r="A16" s="54" t="str">
        <x:v>1200</x:v>
      </x:c>
      <x:c r="B16" s="54" t="str">
        <x:v>Other Current Assets</x:v>
      </x:c>
      <x:c r="C16" s="54" t="str">
        <x:v>BS Snapshot</x:v>
      </x:c>
      <x:c r="D16" s="54" t="str">
        <x:v>Other Current Assets</x:v>
      </x:c>
      <x:c r="E16" s="54" t="str">
        <x:v>Balance Sheet</x:v>
      </x:c>
      <x:c r="F16" s="198" t="n">
        <x:v>1</x:v>
      </x:c>
      <x:c r="G16" s="54" t="str">
        <x:v>Ending Balance</x:v>
      </x:c>
      <x:c r="H16" s="199" t="n">
        <x:f>SUMIFS(PQ_Actuals!$F$6:$F$2005,PQ_Actuals!$B$6:$B$2005,$A16,PQ_Actuals!$A$6:$A$2005,H$5)*$F16</x:f>
        <x:v>0.49</x:v>
      </x:c>
      <x:c r="I16" s="199" t="n">
        <x:f>SUMIFS(PQ_Actuals!$F$6:$F$2005,PQ_Actuals!$B$6:$B$2005,$A16,PQ_Actuals!$A$6:$A$2005,I$5)*$F16</x:f>
        <x:v>0.5</x:v>
      </x:c>
      <x:c r="J16" s="199" t="n">
        <x:f>SUMIFS(PQ_Actuals!$F$6:$F$2005,PQ_Actuals!$B$6:$B$2005,$A16,PQ_Actuals!$A$6:$A$2005,J$5)*$F16</x:f>
        <x:v>0.51</x:v>
      </x:c>
      <x:c r="K16" s="199" t="n">
        <x:f>SUMIFS(PQ_Actuals!$F$6:$F$2005,PQ_Actuals!$B$6:$B$2005,$A16,PQ_Actuals!$A$6:$A$2005,K$5)*$F16</x:f>
        <x:v>0.52</x:v>
      </x:c>
      <x:c r="L16" s="199" t="n">
        <x:f>SUMIFS(PQ_Actuals!$F$6:$F$2005,PQ_Actuals!$B$6:$B$2005,$A16,PQ_Actuals!$A$6:$A$2005,L$5)*$F16</x:f>
        <x:v>0.53</x:v>
      </x:c>
      <x:c r="M16" s="199" t="n">
        <x:f>SUMIFS(PQ_Actuals!$F$6:$F$2005,PQ_Actuals!$B$6:$B$2005,$A16,PQ_Actuals!$A$6:$A$2005,M$5)*$F16</x:f>
        <x:v>0.54</x:v>
      </x:c>
      <x:c r="N16" s="199" t="n">
        <x:f>SUMIFS(PQ_Actuals!$F$6:$F$2005,PQ_Actuals!$B$6:$B$2005,$A16,PQ_Actuals!$A$6:$A$2005,N$5)*$F16</x:f>
        <x:v>0.55</x:v>
      </x:c>
      <x:c r="O16" s="199" t="n">
        <x:f>SUMIFS(PQ_Actuals!$F$6:$F$2005,PQ_Actuals!$B$6:$B$2005,$A16,PQ_Actuals!$A$6:$A$2005,O$5)*$F16</x:f>
        <x:v>0.56</x:v>
      </x:c>
      <x:c r="P16" s="199" t="n">
        <x:f>SUMIFS(PQ_Actuals!$F$6:$F$2005,PQ_Actuals!$B$6:$B$2005,$A16,PQ_Actuals!$A$6:$A$2005,P$5)*$F16</x:f>
        <x:v>0.57</x:v>
      </x:c>
      <x:c r="Q16" s="199" t="n">
        <x:f>SUMIFS(PQ_Actuals!$F$6:$F$2005,PQ_Actuals!$B$6:$B$2005,$A16,PQ_Actuals!$A$6:$A$2005,Q$5)*$F16</x:f>
        <x:v>0.58</x:v>
      </x:c>
      <x:c r="R16" s="199" t="n">
        <x:f>SUMIFS(PQ_Actuals!$F$6:$F$2005,PQ_Actuals!$B$6:$B$2005,$A16,PQ_Actuals!$A$6:$A$2005,R$5)*$F16</x:f>
        <x:v>0.59</x:v>
      </x:c>
      <x:c r="S16" s="199" t="n">
        <x:f>SUMIFS(PQ_Actuals!$F$6:$F$2005,PQ_Actuals!$B$6:$B$2005,$A16,PQ_Actuals!$A$6:$A$2005,S$5)*$F16</x:f>
        <x:v>0.6</x:v>
      </x:c>
      <x:c r="T16" s="199" t="n">
        <x:f>IF($G16="Ending Balance",S16,SUM(H16:S16))</x:f>
        <x:v>0.6</x:v>
      </x:c>
      <x:c r="U16" s="200" t="n">
        <x:f>COUNTIF(PQ_Actuals!$B$6:$B$2005,$A16)</x:f>
        <x:v>12</x:v>
      </x:c>
    </x:row>
    <x:row r="17">
      <x:c r="A17" s="54" t="str">
        <x:v>1500</x:v>
      </x:c>
      <x:c r="B17" s="54" t="str">
        <x:v>PP&amp;E, Net</x:v>
      </x:c>
      <x:c r="C17" s="54" t="str">
        <x:v>BS Snapshot</x:v>
      </x:c>
      <x:c r="D17" s="54" t="str">
        <x:v>PP&amp;E, Net</x:v>
      </x:c>
      <x:c r="E17" s="54" t="str">
        <x:v>Balance Sheet</x:v>
      </x:c>
      <x:c r="F17" s="198" t="n">
        <x:v>1</x:v>
      </x:c>
      <x:c r="G17" s="54" t="str">
        <x:v>Ending Balance</x:v>
      </x:c>
      <x:c r="H17" s="199" t="n">
        <x:f>SUMIFS(PQ_Actuals!$F$6:$F$2005,PQ_Actuals!$B$6:$B$2005,$A17,PQ_Actuals!$A$6:$A$2005,H$5)*$F17</x:f>
        <x:v>1.770833</x:v>
      </x:c>
      <x:c r="I17" s="199" t="n">
        <x:f>SUMIFS(PQ_Actuals!$F$6:$F$2005,PQ_Actuals!$B$6:$B$2005,$A17,PQ_Actuals!$A$6:$A$2005,I$5)*$F17</x:f>
        <x:v>1.791667</x:v>
      </x:c>
      <x:c r="J17" s="199" t="n">
        <x:f>SUMIFS(PQ_Actuals!$F$6:$F$2005,PQ_Actuals!$B$6:$B$2005,$A17,PQ_Actuals!$A$6:$A$2005,J$5)*$F17</x:f>
        <x:v>1.8125</x:v>
      </x:c>
      <x:c r="K17" s="199" t="n">
        <x:f>SUMIFS(PQ_Actuals!$F$6:$F$2005,PQ_Actuals!$B$6:$B$2005,$A17,PQ_Actuals!$A$6:$A$2005,K$5)*$F17</x:f>
        <x:v>1.833333</x:v>
      </x:c>
      <x:c r="L17" s="199" t="n">
        <x:f>SUMIFS(PQ_Actuals!$F$6:$F$2005,PQ_Actuals!$B$6:$B$2005,$A17,PQ_Actuals!$A$6:$A$2005,L$5)*$F17</x:f>
        <x:v>1.854167</x:v>
      </x:c>
      <x:c r="M17" s="199" t="n">
        <x:f>SUMIFS(PQ_Actuals!$F$6:$F$2005,PQ_Actuals!$B$6:$B$2005,$A17,PQ_Actuals!$A$6:$A$2005,M$5)*$F17</x:f>
        <x:v>1.875</x:v>
      </x:c>
      <x:c r="N17" s="199" t="n">
        <x:f>SUMIFS(PQ_Actuals!$F$6:$F$2005,PQ_Actuals!$B$6:$B$2005,$A17,PQ_Actuals!$A$6:$A$2005,N$5)*$F17</x:f>
        <x:v>1.895833</x:v>
      </x:c>
      <x:c r="O17" s="199" t="n">
        <x:f>SUMIFS(PQ_Actuals!$F$6:$F$2005,PQ_Actuals!$B$6:$B$2005,$A17,PQ_Actuals!$A$6:$A$2005,O$5)*$F17</x:f>
        <x:v>1.916667</x:v>
      </x:c>
      <x:c r="P17" s="199" t="n">
        <x:f>SUMIFS(PQ_Actuals!$F$6:$F$2005,PQ_Actuals!$B$6:$B$2005,$A17,PQ_Actuals!$A$6:$A$2005,P$5)*$F17</x:f>
        <x:v>1.9375</x:v>
      </x:c>
      <x:c r="Q17" s="199" t="n">
        <x:f>SUMIFS(PQ_Actuals!$F$6:$F$2005,PQ_Actuals!$B$6:$B$2005,$A17,PQ_Actuals!$A$6:$A$2005,Q$5)*$F17</x:f>
        <x:v>1.958333</x:v>
      </x:c>
      <x:c r="R17" s="199" t="n">
        <x:f>SUMIFS(PQ_Actuals!$F$6:$F$2005,PQ_Actuals!$B$6:$B$2005,$A17,PQ_Actuals!$A$6:$A$2005,R$5)*$F17</x:f>
        <x:v>1.979167</x:v>
      </x:c>
      <x:c r="S17" s="199" t="n">
        <x:f>SUMIFS(PQ_Actuals!$F$6:$F$2005,PQ_Actuals!$B$6:$B$2005,$A17,PQ_Actuals!$A$6:$A$2005,S$5)*$F17</x:f>
        <x:v>2</x:v>
      </x:c>
      <x:c r="T17" s="199" t="n">
        <x:f>IF($G17="Ending Balance",S17,SUM(H17:S17))</x:f>
        <x:v>2</x:v>
      </x:c>
      <x:c r="U17" s="200" t="n">
        <x:f>COUNTIF(PQ_Actuals!$B$6:$B$2005,$A17)</x:f>
        <x:v>12</x:v>
      </x:c>
    </x:row>
    <x:row r="18">
      <x:c r="A18" s="54" t="str">
        <x:v>2000</x:v>
      </x:c>
      <x:c r="B18" s="54" t="str">
        <x:v>Accounts Payable</x:v>
      </x:c>
      <x:c r="C18" s="54" t="str">
        <x:v>BS Snapshot</x:v>
      </x:c>
      <x:c r="D18" s="54" t="str">
        <x:v>Accounts Payable</x:v>
      </x:c>
      <x:c r="E18" s="54" t="str">
        <x:v>Balance Sheet</x:v>
      </x:c>
      <x:c r="F18" s="198" t="n">
        <x:v>-1</x:v>
      </x:c>
      <x:c r="G18" s="54" t="str">
        <x:v>Ending Balance</x:v>
      </x:c>
      <x:c r="H18" s="199" t="n">
        <x:f>SUMIFS(PQ_Actuals!$F$6:$F$2005,PQ_Actuals!$B$6:$B$2005,$A18,PQ_Actuals!$A$6:$A$2005,H$5)*$F18</x:f>
        <x:v>0.345913</x:v>
      </x:c>
      <x:c r="I18" s="199" t="n">
        <x:f>SUMIFS(PQ_Actuals!$F$6:$F$2005,PQ_Actuals!$B$6:$B$2005,$A18,PQ_Actuals!$A$6:$A$2005,I$5)*$F18</x:f>
        <x:v>0.351826</x:v>
      </x:c>
      <x:c r="J18" s="199" t="n">
        <x:f>SUMIFS(PQ_Actuals!$F$6:$F$2005,PQ_Actuals!$B$6:$B$2005,$A18,PQ_Actuals!$A$6:$A$2005,J$5)*$F18</x:f>
        <x:v>0.35774</x:v>
      </x:c>
      <x:c r="K18" s="199" t="n">
        <x:f>SUMIFS(PQ_Actuals!$F$6:$F$2005,PQ_Actuals!$B$6:$B$2005,$A18,PQ_Actuals!$A$6:$A$2005,K$5)*$F18</x:f>
        <x:v>0.363653</x:v>
      </x:c>
      <x:c r="L18" s="199" t="n">
        <x:f>SUMIFS(PQ_Actuals!$F$6:$F$2005,PQ_Actuals!$B$6:$B$2005,$A18,PQ_Actuals!$A$6:$A$2005,L$5)*$F18</x:f>
        <x:v>0.369566</x:v>
      </x:c>
      <x:c r="M18" s="199" t="n">
        <x:f>SUMIFS(PQ_Actuals!$F$6:$F$2005,PQ_Actuals!$B$6:$B$2005,$A18,PQ_Actuals!$A$6:$A$2005,M$5)*$F18</x:f>
        <x:v>0.375479</x:v>
      </x:c>
      <x:c r="N18" s="199" t="n">
        <x:f>SUMIFS(PQ_Actuals!$F$6:$F$2005,PQ_Actuals!$B$6:$B$2005,$A18,PQ_Actuals!$A$6:$A$2005,N$5)*$F18</x:f>
        <x:v>0.381393</x:v>
      </x:c>
      <x:c r="O18" s="199" t="n">
        <x:f>SUMIFS(PQ_Actuals!$F$6:$F$2005,PQ_Actuals!$B$6:$B$2005,$A18,PQ_Actuals!$A$6:$A$2005,O$5)*$F18</x:f>
        <x:v>0.387306</x:v>
      </x:c>
      <x:c r="P18" s="199" t="n">
        <x:f>SUMIFS(PQ_Actuals!$F$6:$F$2005,PQ_Actuals!$B$6:$B$2005,$A18,PQ_Actuals!$A$6:$A$2005,P$5)*$F18</x:f>
        <x:v>0.393219</x:v>
      </x:c>
      <x:c r="Q18" s="199" t="n">
        <x:f>SUMIFS(PQ_Actuals!$F$6:$F$2005,PQ_Actuals!$B$6:$B$2005,$A18,PQ_Actuals!$A$6:$A$2005,Q$5)*$F18</x:f>
        <x:v>0.399132</x:v>
      </x:c>
      <x:c r="R18" s="199" t="n">
        <x:f>SUMIFS(PQ_Actuals!$F$6:$F$2005,PQ_Actuals!$B$6:$B$2005,$A18,PQ_Actuals!$A$6:$A$2005,R$5)*$F18</x:f>
        <x:v>0.405046</x:v>
      </x:c>
      <x:c r="S18" s="199" t="n">
        <x:f>SUMIFS(PQ_Actuals!$F$6:$F$2005,PQ_Actuals!$B$6:$B$2005,$A18,PQ_Actuals!$A$6:$A$2005,S$5)*$F18</x:f>
        <x:v>0.410958904109589</x:v>
      </x:c>
      <x:c r="T18" s="199" t="n">
        <x:f>IF($G18="Ending Balance",S18,SUM(H18:S18))</x:f>
        <x:v>0.410958904109589</x:v>
      </x:c>
      <x:c r="U18" s="200" t="n">
        <x:f>COUNTIF(PQ_Actuals!$B$6:$B$2005,$A18)</x:f>
        <x:v>12</x:v>
      </x:c>
    </x:row>
    <x:row r="19">
      <x:c r="A19" s="54" t="str">
        <x:v>2100</x:v>
      </x:c>
      <x:c r="B19" s="54" t="str">
        <x:v>Accrued Expenses</x:v>
      </x:c>
      <x:c r="C19" s="54" t="str">
        <x:v>BS Snapshot</x:v>
      </x:c>
      <x:c r="D19" s="54" t="str">
        <x:v>Accrued Expenses</x:v>
      </x:c>
      <x:c r="E19" s="54" t="str">
        <x:v>Balance Sheet</x:v>
      </x:c>
      <x:c r="F19" s="198" t="n">
        <x:v>-1</x:v>
      </x:c>
      <x:c r="G19" s="54" t="str">
        <x:v>Ending Balance</x:v>
      </x:c>
      <x:c r="H19" s="199" t="n">
        <x:f>SUMIFS(PQ_Actuals!$F$6:$F$2005,PQ_Actuals!$B$6:$B$2005,$A19,PQ_Actuals!$A$6:$A$2005,H$5)*$F19</x:f>
        <x:v>0.8815</x:v>
      </x:c>
      <x:c r="I19" s="199" t="n">
        <x:f>SUMIFS(PQ_Actuals!$F$6:$F$2005,PQ_Actuals!$B$6:$B$2005,$A19,PQ_Actuals!$A$6:$A$2005,I$5)*$F19</x:f>
        <x:v>0.893</x:v>
      </x:c>
      <x:c r="J19" s="199" t="n">
        <x:f>SUMIFS(PQ_Actuals!$F$6:$F$2005,PQ_Actuals!$B$6:$B$2005,$A19,PQ_Actuals!$A$6:$A$2005,J$5)*$F19</x:f>
        <x:v>0.9045</x:v>
      </x:c>
      <x:c r="K19" s="199" t="n">
        <x:f>SUMIFS(PQ_Actuals!$F$6:$F$2005,PQ_Actuals!$B$6:$B$2005,$A19,PQ_Actuals!$A$6:$A$2005,K$5)*$F19</x:f>
        <x:v>0.916</x:v>
      </x:c>
      <x:c r="L19" s="199" t="n">
        <x:f>SUMIFS(PQ_Actuals!$F$6:$F$2005,PQ_Actuals!$B$6:$B$2005,$A19,PQ_Actuals!$A$6:$A$2005,L$5)*$F19</x:f>
        <x:v>0.9275</x:v>
      </x:c>
      <x:c r="M19" s="199" t="n">
        <x:f>SUMIFS(PQ_Actuals!$F$6:$F$2005,PQ_Actuals!$B$6:$B$2005,$A19,PQ_Actuals!$A$6:$A$2005,M$5)*$F19</x:f>
        <x:v>0.939</x:v>
      </x:c>
      <x:c r="N19" s="199" t="n">
        <x:f>SUMIFS(PQ_Actuals!$F$6:$F$2005,PQ_Actuals!$B$6:$B$2005,$A19,PQ_Actuals!$A$6:$A$2005,N$5)*$F19</x:f>
        <x:v>0.9505</x:v>
      </x:c>
      <x:c r="O19" s="199" t="n">
        <x:f>SUMIFS(PQ_Actuals!$F$6:$F$2005,PQ_Actuals!$B$6:$B$2005,$A19,PQ_Actuals!$A$6:$A$2005,O$5)*$F19</x:f>
        <x:v>0.962</x:v>
      </x:c>
      <x:c r="P19" s="199" t="n">
        <x:f>SUMIFS(PQ_Actuals!$F$6:$F$2005,PQ_Actuals!$B$6:$B$2005,$A19,PQ_Actuals!$A$6:$A$2005,P$5)*$F19</x:f>
        <x:v>0.9735</x:v>
      </x:c>
      <x:c r="Q19" s="199" t="n">
        <x:f>SUMIFS(PQ_Actuals!$F$6:$F$2005,PQ_Actuals!$B$6:$B$2005,$A19,PQ_Actuals!$A$6:$A$2005,Q$5)*$F19</x:f>
        <x:v>0.985</x:v>
      </x:c>
      <x:c r="R19" s="199" t="n">
        <x:f>SUMIFS(PQ_Actuals!$F$6:$F$2005,PQ_Actuals!$B$6:$B$2005,$A19,PQ_Actuals!$A$6:$A$2005,R$5)*$F19</x:f>
        <x:v>0.9965</x:v>
      </x:c>
      <x:c r="S19" s="199" t="n">
        <x:f>SUMIFS(PQ_Actuals!$F$6:$F$2005,PQ_Actuals!$B$6:$B$2005,$A19,PQ_Actuals!$A$6:$A$2005,S$5)*$F19</x:f>
        <x:v>1.008</x:v>
      </x:c>
      <x:c r="T19" s="199" t="n">
        <x:f>IF($G19="Ending Balance",S19,SUM(H19:S19))</x:f>
        <x:v>1.008</x:v>
      </x:c>
      <x:c r="U19" s="200" t="n">
        <x:f>COUNTIF(PQ_Actuals!$B$6:$B$2005,$A19)</x:f>
        <x:v>12</x:v>
      </x:c>
    </x:row>
    <x:row r="20">
      <x:c r="A20" s="54" t="str">
        <x:v>2200</x:v>
      </x:c>
      <x:c r="B20" s="54" t="str">
        <x:v>Deferred Revenue</x:v>
      </x:c>
      <x:c r="C20" s="54" t="str">
        <x:v>BS Snapshot</x:v>
      </x:c>
      <x:c r="D20" s="54" t="str">
        <x:v>Deferred Revenue</x:v>
      </x:c>
      <x:c r="E20" s="54" t="str">
        <x:v>Balance Sheet</x:v>
      </x:c>
      <x:c r="F20" s="198" t="n">
        <x:v>-1</x:v>
      </x:c>
      <x:c r="G20" s="54" t="str">
        <x:v>Ending Balance</x:v>
      </x:c>
      <x:c r="H20" s="199" t="n">
        <x:f>SUMIFS(PQ_Actuals!$F$6:$F$2005,PQ_Actuals!$B$6:$B$2005,$A20,PQ_Actuals!$A$6:$A$2005,H$5)*$F20</x:f>
        <x:v>1.725</x:v>
      </x:c>
      <x:c r="I20" s="199" t="n">
        <x:f>SUMIFS(PQ_Actuals!$F$6:$F$2005,PQ_Actuals!$B$6:$B$2005,$A20,PQ_Actuals!$A$6:$A$2005,I$5)*$F20</x:f>
        <x:v>1.75</x:v>
      </x:c>
      <x:c r="J20" s="199" t="n">
        <x:f>SUMIFS(PQ_Actuals!$F$6:$F$2005,PQ_Actuals!$B$6:$B$2005,$A20,PQ_Actuals!$A$6:$A$2005,J$5)*$F20</x:f>
        <x:v>1.775</x:v>
      </x:c>
      <x:c r="K20" s="199" t="n">
        <x:f>SUMIFS(PQ_Actuals!$F$6:$F$2005,PQ_Actuals!$B$6:$B$2005,$A20,PQ_Actuals!$A$6:$A$2005,K$5)*$F20</x:f>
        <x:v>1.8</x:v>
      </x:c>
      <x:c r="L20" s="199" t="n">
        <x:f>SUMIFS(PQ_Actuals!$F$6:$F$2005,PQ_Actuals!$B$6:$B$2005,$A20,PQ_Actuals!$A$6:$A$2005,L$5)*$F20</x:f>
        <x:v>1.825</x:v>
      </x:c>
      <x:c r="M20" s="199" t="n">
        <x:f>SUMIFS(PQ_Actuals!$F$6:$F$2005,PQ_Actuals!$B$6:$B$2005,$A20,PQ_Actuals!$A$6:$A$2005,M$5)*$F20</x:f>
        <x:v>1.85</x:v>
      </x:c>
      <x:c r="N20" s="199" t="n">
        <x:f>SUMIFS(PQ_Actuals!$F$6:$F$2005,PQ_Actuals!$B$6:$B$2005,$A20,PQ_Actuals!$A$6:$A$2005,N$5)*$F20</x:f>
        <x:v>1.875</x:v>
      </x:c>
      <x:c r="O20" s="199" t="n">
        <x:f>SUMIFS(PQ_Actuals!$F$6:$F$2005,PQ_Actuals!$B$6:$B$2005,$A20,PQ_Actuals!$A$6:$A$2005,O$5)*$F20</x:f>
        <x:v>1.9</x:v>
      </x:c>
      <x:c r="P20" s="199" t="n">
        <x:f>SUMIFS(PQ_Actuals!$F$6:$F$2005,PQ_Actuals!$B$6:$B$2005,$A20,PQ_Actuals!$A$6:$A$2005,P$5)*$F20</x:f>
        <x:v>1.925</x:v>
      </x:c>
      <x:c r="Q20" s="199" t="n">
        <x:f>SUMIFS(PQ_Actuals!$F$6:$F$2005,PQ_Actuals!$B$6:$B$2005,$A20,PQ_Actuals!$A$6:$A$2005,Q$5)*$F20</x:f>
        <x:v>1.95</x:v>
      </x:c>
      <x:c r="R20" s="199" t="n">
        <x:f>SUMIFS(PQ_Actuals!$F$6:$F$2005,PQ_Actuals!$B$6:$B$2005,$A20,PQ_Actuals!$A$6:$A$2005,R$5)*$F20</x:f>
        <x:v>1.975</x:v>
      </x:c>
      <x:c r="S20" s="199" t="n">
        <x:f>SUMIFS(PQ_Actuals!$F$6:$F$2005,PQ_Actuals!$B$6:$B$2005,$A20,PQ_Actuals!$A$6:$A$2005,S$5)*$F20</x:f>
        <x:v>2</x:v>
      </x:c>
      <x:c r="T20" s="199" t="n">
        <x:f>IF($G20="Ending Balance",S20,SUM(H20:S20))</x:f>
        <x:v>2</x:v>
      </x:c>
      <x:c r="U20" s="200" t="n">
        <x:f>COUNTIF(PQ_Actuals!$B$6:$B$2005,$A20)</x:f>
        <x:v>12</x:v>
      </x:c>
    </x:row>
    <x:row r="21">
      <x:c r="A21" s="54" t="str">
        <x:v>2500</x:v>
      </x:c>
      <x:c r="B21" s="54" t="str">
        <x:v>Debt</x:v>
      </x:c>
      <x:c r="C21" s="54" t="str">
        <x:v>BS Snapshot</x:v>
      </x:c>
      <x:c r="D21" s="54" t="str">
        <x:v>Debt</x:v>
      </x:c>
      <x:c r="E21" s="54" t="str">
        <x:v>Balance Sheet</x:v>
      </x:c>
      <x:c r="F21" s="198" t="n">
        <x:v>-1</x:v>
      </x:c>
      <x:c r="G21" s="54" t="str">
        <x:v>Ending Balance</x:v>
      </x:c>
      <x:c r="H21" s="199" t="n">
        <x:f>SUMIFS(PQ_Actuals!$F$6:$F$2005,PQ_Actuals!$B$6:$B$2005,$A21,PQ_Actuals!$A$6:$A$2005,H$5)*$F21</x:f>
        <x:v>2.866667</x:v>
      </x:c>
      <x:c r="I21" s="199" t="n">
        <x:f>SUMIFS(PQ_Actuals!$F$6:$F$2005,PQ_Actuals!$B$6:$B$2005,$A21,PQ_Actuals!$A$6:$A$2005,I$5)*$F21</x:f>
        <x:v>2.833333</x:v>
      </x:c>
      <x:c r="J21" s="199" t="n">
        <x:f>SUMIFS(PQ_Actuals!$F$6:$F$2005,PQ_Actuals!$B$6:$B$2005,$A21,PQ_Actuals!$A$6:$A$2005,J$5)*$F21</x:f>
        <x:v>2.8</x:v>
      </x:c>
      <x:c r="K21" s="199" t="n">
        <x:f>SUMIFS(PQ_Actuals!$F$6:$F$2005,PQ_Actuals!$B$6:$B$2005,$A21,PQ_Actuals!$A$6:$A$2005,K$5)*$F21</x:f>
        <x:v>2.766667</x:v>
      </x:c>
      <x:c r="L21" s="199" t="n">
        <x:f>SUMIFS(PQ_Actuals!$F$6:$F$2005,PQ_Actuals!$B$6:$B$2005,$A21,PQ_Actuals!$A$6:$A$2005,L$5)*$F21</x:f>
        <x:v>2.733333</x:v>
      </x:c>
      <x:c r="M21" s="199" t="n">
        <x:f>SUMIFS(PQ_Actuals!$F$6:$F$2005,PQ_Actuals!$B$6:$B$2005,$A21,PQ_Actuals!$A$6:$A$2005,M$5)*$F21</x:f>
        <x:v>2.7</x:v>
      </x:c>
      <x:c r="N21" s="199" t="n">
        <x:f>SUMIFS(PQ_Actuals!$F$6:$F$2005,PQ_Actuals!$B$6:$B$2005,$A21,PQ_Actuals!$A$6:$A$2005,N$5)*$F21</x:f>
        <x:v>2.666667</x:v>
      </x:c>
      <x:c r="O21" s="199" t="n">
        <x:f>SUMIFS(PQ_Actuals!$F$6:$F$2005,PQ_Actuals!$B$6:$B$2005,$A21,PQ_Actuals!$A$6:$A$2005,O$5)*$F21</x:f>
        <x:v>2.633333</x:v>
      </x:c>
      <x:c r="P21" s="199" t="n">
        <x:f>SUMIFS(PQ_Actuals!$F$6:$F$2005,PQ_Actuals!$B$6:$B$2005,$A21,PQ_Actuals!$A$6:$A$2005,P$5)*$F21</x:f>
        <x:v>2.6</x:v>
      </x:c>
      <x:c r="Q21" s="199" t="n">
        <x:f>SUMIFS(PQ_Actuals!$F$6:$F$2005,PQ_Actuals!$B$6:$B$2005,$A21,PQ_Actuals!$A$6:$A$2005,Q$5)*$F21</x:f>
        <x:v>2.566667</x:v>
      </x:c>
      <x:c r="R21" s="199" t="n">
        <x:f>SUMIFS(PQ_Actuals!$F$6:$F$2005,PQ_Actuals!$B$6:$B$2005,$A21,PQ_Actuals!$A$6:$A$2005,R$5)*$F21</x:f>
        <x:v>2.533333</x:v>
      </x:c>
      <x:c r="S21" s="199" t="n">
        <x:f>SUMIFS(PQ_Actuals!$F$6:$F$2005,PQ_Actuals!$B$6:$B$2005,$A21,PQ_Actuals!$A$6:$A$2005,S$5)*$F21</x:f>
        <x:v>2.5</x:v>
      </x:c>
      <x:c r="T21" s="199" t="n">
        <x:f>IF($G21="Ending Balance",S21,SUM(H21:S21))</x:f>
        <x:v>2.5</x:v>
      </x:c>
      <x:c r="U21" s="200" t="n">
        <x:f>COUNTIF(PQ_Actuals!$B$6:$B$2005,$A21)</x:f>
        <x:v>12</x:v>
      </x:c>
    </x:row>
    <x:row r="22">
      <x:c r="A22" s="54" t="str">
        <x:v>3000</x:v>
      </x:c>
      <x:c r="B22" s="54" t="str">
        <x:v>Equity</x:v>
      </x:c>
      <x:c r="C22" s="54" t="str">
        <x:v>BS Snapshot</x:v>
      </x:c>
      <x:c r="D22" s="54" t="str">
        <x:v>Equity</x:v>
      </x:c>
      <x:c r="E22" s="54" t="str">
        <x:v>Balance Sheet</x:v>
      </x:c>
      <x:c r="F22" s="198" t="n">
        <x:v>-1</x:v>
      </x:c>
      <x:c r="G22" s="54" t="str">
        <x:v>Ending Balance</x:v>
      </x:c>
      <x:c r="H22" s="199" t="n">
        <x:f>SUMIFS(PQ_Actuals!$F$6:$F$2005,PQ_Actuals!$B$6:$B$2005,$A22,PQ_Actuals!$A$6:$A$2005,H$5)*$F22</x:f>
        <x:v>2.095566</x:v>
      </x:c>
      <x:c r="I22" s="199" t="n">
        <x:f>SUMIFS(PQ_Actuals!$F$6:$F$2005,PQ_Actuals!$B$6:$B$2005,$A22,PQ_Actuals!$A$6:$A$2005,I$5)*$F22</x:f>
        <x:v>2.191132</x:v>
      </x:c>
      <x:c r="J22" s="199" t="n">
        <x:f>SUMIFS(PQ_Actuals!$F$6:$F$2005,PQ_Actuals!$B$6:$B$2005,$A22,PQ_Actuals!$A$6:$A$2005,J$5)*$F22</x:f>
        <x:v>2.286699</x:v>
      </x:c>
      <x:c r="K22" s="199" t="n">
        <x:f>SUMIFS(PQ_Actuals!$F$6:$F$2005,PQ_Actuals!$B$6:$B$2005,$A22,PQ_Actuals!$A$6:$A$2005,K$5)*$F22</x:f>
        <x:v>2.382265</x:v>
      </x:c>
      <x:c r="L22" s="199" t="n">
        <x:f>SUMIFS(PQ_Actuals!$F$6:$F$2005,PQ_Actuals!$B$6:$B$2005,$A22,PQ_Actuals!$A$6:$A$2005,L$5)*$F22</x:f>
        <x:v>2.477831</x:v>
      </x:c>
      <x:c r="M22" s="199" t="n">
        <x:f>SUMIFS(PQ_Actuals!$F$6:$F$2005,PQ_Actuals!$B$6:$B$2005,$A22,PQ_Actuals!$A$6:$A$2005,M$5)*$F22</x:f>
        <x:v>2.573397</x:v>
      </x:c>
      <x:c r="N22" s="199" t="n">
        <x:f>SUMIFS(PQ_Actuals!$F$6:$F$2005,PQ_Actuals!$B$6:$B$2005,$A22,PQ_Actuals!$A$6:$A$2005,N$5)*$F22</x:f>
        <x:v>2.668963</x:v>
      </x:c>
      <x:c r="O22" s="199" t="n">
        <x:f>SUMIFS(PQ_Actuals!$F$6:$F$2005,PQ_Actuals!$B$6:$B$2005,$A22,PQ_Actuals!$A$6:$A$2005,O$5)*$F22</x:f>
        <x:v>2.76453</x:v>
      </x:c>
      <x:c r="P22" s="199" t="n">
        <x:f>SUMIFS(PQ_Actuals!$F$6:$F$2005,PQ_Actuals!$B$6:$B$2005,$A22,PQ_Actuals!$A$6:$A$2005,P$5)*$F22</x:f>
        <x:v>2.860096</x:v>
      </x:c>
      <x:c r="Q22" s="199" t="n">
        <x:f>SUMIFS(PQ_Actuals!$F$6:$F$2005,PQ_Actuals!$B$6:$B$2005,$A22,PQ_Actuals!$A$6:$A$2005,Q$5)*$F22</x:f>
        <x:v>2.955662</x:v>
      </x:c>
      <x:c r="R22" s="199" t="n">
        <x:f>SUMIFS(PQ_Actuals!$F$6:$F$2005,PQ_Actuals!$B$6:$B$2005,$A22,PQ_Actuals!$A$6:$A$2005,R$5)*$F22</x:f>
        <x:v>3.051228</x:v>
      </x:c>
      <x:c r="S22" s="199" t="n">
        <x:f>SUMIFS(PQ_Actuals!$F$6:$F$2005,PQ_Actuals!$B$6:$B$2005,$A22,PQ_Actuals!$A$6:$A$2005,S$5)*$F22</x:f>
        <x:v>3.146794520547944</x:v>
      </x:c>
      <x:c r="T22" s="199" t="n">
        <x:f>IF($G22="Ending Balance",S22,SUM(H22:S22))</x:f>
        <x:v>3.146794520547944</x:v>
      </x:c>
      <x:c r="U22" s="200" t="n">
        <x:f>COUNTIF(PQ_Actuals!$B$6:$B$2005,$A22)</x:f>
        <x:v>12</x:v>
      </x:c>
    </x:row>
    <x:row r="23">
      <x:c r="A23" s="54" t="str">
        <x:v>9001</x:v>
      </x:c>
      <x:c r="B23" s="54" t="str">
        <x:v>Change in Accounts Receivable</x:v>
      </x:c>
      <x:c r="C23" s="54" t="str">
        <x:v>CF Activity</x:v>
      </x:c>
      <x:c r="D23" s="54" t="str">
        <x:v>Change in A/R</x:v>
      </x:c>
      <x:c r="E23" s="54" t="str">
        <x:v>Cash Flow</x:v>
      </x:c>
      <x:c r="F23" s="198" t="n">
        <x:v>1</x:v>
      </x:c>
      <x:c r="G23" s="54" t="str">
        <x:v>Sum</x:v>
      </x:c>
      <x:c r="H23" s="199" t="n">
        <x:f>SUMIFS(PQ_Actuals!$F$6:$F$2005,PQ_Actuals!$B$6:$B$2005,$A23,PQ_Actuals!$A$6:$A$2005,H$5)*$F23</x:f>
        <x:v>0</x:v>
      </x:c>
      <x:c r="I23" s="199" t="n">
        <x:f>SUMIFS(PQ_Actuals!$F$6:$F$2005,PQ_Actuals!$B$6:$B$2005,$A23,PQ_Actuals!$A$6:$A$2005,I$5)*$F23</x:f>
        <x:v>0</x:v>
      </x:c>
      <x:c r="J23" s="199" t="n">
        <x:f>SUMIFS(PQ_Actuals!$F$6:$F$2005,PQ_Actuals!$B$6:$B$2005,$A23,PQ_Actuals!$A$6:$A$2005,J$5)*$F23</x:f>
        <x:v>0</x:v>
      </x:c>
      <x:c r="K23" s="199" t="n">
        <x:f>SUMIFS(PQ_Actuals!$F$6:$F$2005,PQ_Actuals!$B$6:$B$2005,$A23,PQ_Actuals!$A$6:$A$2005,K$5)*$F23</x:f>
        <x:v>0</x:v>
      </x:c>
      <x:c r="L23" s="199" t="n">
        <x:f>SUMIFS(PQ_Actuals!$F$6:$F$2005,PQ_Actuals!$B$6:$B$2005,$A23,PQ_Actuals!$A$6:$A$2005,L$5)*$F23</x:f>
        <x:v>0</x:v>
      </x:c>
      <x:c r="M23" s="199" t="n">
        <x:f>SUMIFS(PQ_Actuals!$F$6:$F$2005,PQ_Actuals!$B$6:$B$2005,$A23,PQ_Actuals!$A$6:$A$2005,M$5)*$F23</x:f>
        <x:v>0</x:v>
      </x:c>
      <x:c r="N23" s="199" t="n">
        <x:f>SUMIFS(PQ_Actuals!$F$6:$F$2005,PQ_Actuals!$B$6:$B$2005,$A23,PQ_Actuals!$A$6:$A$2005,N$5)*$F23</x:f>
        <x:v>0</x:v>
      </x:c>
      <x:c r="O23" s="199" t="n">
        <x:f>SUMIFS(PQ_Actuals!$F$6:$F$2005,PQ_Actuals!$B$6:$B$2005,$A23,PQ_Actuals!$A$6:$A$2005,O$5)*$F23</x:f>
        <x:v>0</x:v>
      </x:c>
      <x:c r="P23" s="199" t="n">
        <x:f>SUMIFS(PQ_Actuals!$F$6:$F$2005,PQ_Actuals!$B$6:$B$2005,$A23,PQ_Actuals!$A$6:$A$2005,P$5)*$F23</x:f>
        <x:v>0</x:v>
      </x:c>
      <x:c r="Q23" s="199" t="n">
        <x:f>SUMIFS(PQ_Actuals!$F$6:$F$2005,PQ_Actuals!$B$6:$B$2005,$A23,PQ_Actuals!$A$6:$A$2005,Q$5)*$F23</x:f>
        <x:v>0</x:v>
      </x:c>
      <x:c r="R23" s="199" t="n">
        <x:f>SUMIFS(PQ_Actuals!$F$6:$F$2005,PQ_Actuals!$B$6:$B$2005,$A23,PQ_Actuals!$A$6:$A$2005,R$5)*$F23</x:f>
        <x:v>0</x:v>
      </x:c>
      <x:c r="S23" s="199" t="n">
        <x:f>SUMIFS(PQ_Actuals!$F$6:$F$2005,PQ_Actuals!$B$6:$B$2005,$A23,PQ_Actuals!$A$6:$A$2005,S$5)*$F23</x:f>
        <x:v>-0.3</x:v>
      </x:c>
      <x:c r="T23" s="199" t="n">
        <x:f>IF($G23="Ending Balance",S23,SUM(H23:S23))</x:f>
        <x:v>-0.3</x:v>
      </x:c>
      <x:c r="U23" s="200" t="n">
        <x:f>COUNTIF(PQ_Actuals!$B$6:$B$2005,$A23)</x:f>
        <x:v>1</x:v>
      </x:c>
    </x:row>
    <x:row r="24">
      <x:c r="A24" s="54" t="str">
        <x:v>9002</x:v>
      </x:c>
      <x:c r="B24" s="54" t="str">
        <x:v>Change in Other Current Assets</x:v>
      </x:c>
      <x:c r="C24" s="54" t="str">
        <x:v>CF Activity</x:v>
      </x:c>
      <x:c r="D24" s="54" t="str">
        <x:v>Change in Other Current Assets</x:v>
      </x:c>
      <x:c r="E24" s="54" t="str">
        <x:v>Cash Flow</x:v>
      </x:c>
      <x:c r="F24" s="198" t="n">
        <x:v>1</x:v>
      </x:c>
      <x:c r="G24" s="54" t="str">
        <x:v>Sum</x:v>
      </x:c>
      <x:c r="H24" s="199" t="n">
        <x:f>SUMIFS(PQ_Actuals!$F$6:$F$2005,PQ_Actuals!$B$6:$B$2005,$A24,PQ_Actuals!$A$6:$A$2005,H$5)*$F24</x:f>
        <x:v>0</x:v>
      </x:c>
      <x:c r="I24" s="199" t="n">
        <x:f>SUMIFS(PQ_Actuals!$F$6:$F$2005,PQ_Actuals!$B$6:$B$2005,$A24,PQ_Actuals!$A$6:$A$2005,I$5)*$F24</x:f>
        <x:v>0</x:v>
      </x:c>
      <x:c r="J24" s="199" t="n">
        <x:f>SUMIFS(PQ_Actuals!$F$6:$F$2005,PQ_Actuals!$B$6:$B$2005,$A24,PQ_Actuals!$A$6:$A$2005,J$5)*$F24</x:f>
        <x:v>0</x:v>
      </x:c>
      <x:c r="K24" s="199" t="n">
        <x:f>SUMIFS(PQ_Actuals!$F$6:$F$2005,PQ_Actuals!$B$6:$B$2005,$A24,PQ_Actuals!$A$6:$A$2005,K$5)*$F24</x:f>
        <x:v>0</x:v>
      </x:c>
      <x:c r="L24" s="199" t="n">
        <x:f>SUMIFS(PQ_Actuals!$F$6:$F$2005,PQ_Actuals!$B$6:$B$2005,$A24,PQ_Actuals!$A$6:$A$2005,L$5)*$F24</x:f>
        <x:v>0</x:v>
      </x:c>
      <x:c r="M24" s="199" t="n">
        <x:f>SUMIFS(PQ_Actuals!$F$6:$F$2005,PQ_Actuals!$B$6:$B$2005,$A24,PQ_Actuals!$A$6:$A$2005,M$5)*$F24</x:f>
        <x:v>0</x:v>
      </x:c>
      <x:c r="N24" s="199" t="n">
        <x:f>SUMIFS(PQ_Actuals!$F$6:$F$2005,PQ_Actuals!$B$6:$B$2005,$A24,PQ_Actuals!$A$6:$A$2005,N$5)*$F24</x:f>
        <x:v>0</x:v>
      </x:c>
      <x:c r="O24" s="199" t="n">
        <x:f>SUMIFS(PQ_Actuals!$F$6:$F$2005,PQ_Actuals!$B$6:$B$2005,$A24,PQ_Actuals!$A$6:$A$2005,O$5)*$F24</x:f>
        <x:v>0</x:v>
      </x:c>
      <x:c r="P24" s="199" t="n">
        <x:f>SUMIFS(PQ_Actuals!$F$6:$F$2005,PQ_Actuals!$B$6:$B$2005,$A24,PQ_Actuals!$A$6:$A$2005,P$5)*$F24</x:f>
        <x:v>0</x:v>
      </x:c>
      <x:c r="Q24" s="199" t="n">
        <x:f>SUMIFS(PQ_Actuals!$F$6:$F$2005,PQ_Actuals!$B$6:$B$2005,$A24,PQ_Actuals!$A$6:$A$2005,Q$5)*$F24</x:f>
        <x:v>0</x:v>
      </x:c>
      <x:c r="R24" s="199" t="n">
        <x:f>SUMIFS(PQ_Actuals!$F$6:$F$2005,PQ_Actuals!$B$6:$B$2005,$A24,PQ_Actuals!$A$6:$A$2005,R$5)*$F24</x:f>
        <x:v>0</x:v>
      </x:c>
      <x:c r="S24" s="199" t="n">
        <x:f>SUMIFS(PQ_Actuals!$F$6:$F$2005,PQ_Actuals!$B$6:$B$2005,$A24,PQ_Actuals!$A$6:$A$2005,S$5)*$F24</x:f>
        <x:v>-0.1</x:v>
      </x:c>
      <x:c r="T24" s="199" t="n">
        <x:f>IF($G24="Ending Balance",S24,SUM(H24:S24))</x:f>
        <x:v>-0.1</x:v>
      </x:c>
      <x:c r="U24" s="200" t="n">
        <x:f>COUNTIF(PQ_Actuals!$B$6:$B$2005,$A24)</x:f>
        <x:v>1</x:v>
      </x:c>
    </x:row>
    <x:row r="25">
      <x:c r="A25" s="54" t="str">
        <x:v>9003</x:v>
      </x:c>
      <x:c r="B25" s="54" t="str">
        <x:v>Change in Accounts Payable</x:v>
      </x:c>
      <x:c r="C25" s="54" t="str">
        <x:v>CF Activity</x:v>
      </x:c>
      <x:c r="D25" s="54" t="str">
        <x:v>Change in A/P</x:v>
      </x:c>
      <x:c r="E25" s="54" t="str">
        <x:v>Cash Flow</x:v>
      </x:c>
      <x:c r="F25" s="198" t="n">
        <x:v>1</x:v>
      </x:c>
      <x:c r="G25" s="54" t="str">
        <x:v>Sum</x:v>
      </x:c>
      <x:c r="H25" s="199" t="n">
        <x:f>SUMIFS(PQ_Actuals!$F$6:$F$2005,PQ_Actuals!$B$6:$B$2005,$A25,PQ_Actuals!$A$6:$A$2005,H$5)*$F25</x:f>
        <x:v>0</x:v>
      </x:c>
      <x:c r="I25" s="199" t="n">
        <x:f>SUMIFS(PQ_Actuals!$F$6:$F$2005,PQ_Actuals!$B$6:$B$2005,$A25,PQ_Actuals!$A$6:$A$2005,I$5)*$F25</x:f>
        <x:v>0</x:v>
      </x:c>
      <x:c r="J25" s="199" t="n">
        <x:f>SUMIFS(PQ_Actuals!$F$6:$F$2005,PQ_Actuals!$B$6:$B$2005,$A25,PQ_Actuals!$A$6:$A$2005,J$5)*$F25</x:f>
        <x:v>0</x:v>
      </x:c>
      <x:c r="K25" s="199" t="n">
        <x:f>SUMIFS(PQ_Actuals!$F$6:$F$2005,PQ_Actuals!$B$6:$B$2005,$A25,PQ_Actuals!$A$6:$A$2005,K$5)*$F25</x:f>
        <x:v>0</x:v>
      </x:c>
      <x:c r="L25" s="199" t="n">
        <x:f>SUMIFS(PQ_Actuals!$F$6:$F$2005,PQ_Actuals!$B$6:$B$2005,$A25,PQ_Actuals!$A$6:$A$2005,L$5)*$F25</x:f>
        <x:v>0</x:v>
      </x:c>
      <x:c r="M25" s="199" t="n">
        <x:f>SUMIFS(PQ_Actuals!$F$6:$F$2005,PQ_Actuals!$B$6:$B$2005,$A25,PQ_Actuals!$A$6:$A$2005,M$5)*$F25</x:f>
        <x:v>0</x:v>
      </x:c>
      <x:c r="N25" s="199" t="n">
        <x:f>SUMIFS(PQ_Actuals!$F$6:$F$2005,PQ_Actuals!$B$6:$B$2005,$A25,PQ_Actuals!$A$6:$A$2005,N$5)*$F25</x:f>
        <x:v>0</x:v>
      </x:c>
      <x:c r="O25" s="199" t="n">
        <x:f>SUMIFS(PQ_Actuals!$F$6:$F$2005,PQ_Actuals!$B$6:$B$2005,$A25,PQ_Actuals!$A$6:$A$2005,O$5)*$F25</x:f>
        <x:v>0</x:v>
      </x:c>
      <x:c r="P25" s="199" t="n">
        <x:f>SUMIFS(PQ_Actuals!$F$6:$F$2005,PQ_Actuals!$B$6:$B$2005,$A25,PQ_Actuals!$A$6:$A$2005,P$5)*$F25</x:f>
        <x:v>0</x:v>
      </x:c>
      <x:c r="Q25" s="199" t="n">
        <x:f>SUMIFS(PQ_Actuals!$F$6:$F$2005,PQ_Actuals!$B$6:$B$2005,$A25,PQ_Actuals!$A$6:$A$2005,Q$5)*$F25</x:f>
        <x:v>0</x:v>
      </x:c>
      <x:c r="R25" s="199" t="n">
        <x:f>SUMIFS(PQ_Actuals!$F$6:$F$2005,PQ_Actuals!$B$6:$B$2005,$A25,PQ_Actuals!$A$6:$A$2005,R$5)*$F25</x:f>
        <x:v>0</x:v>
      </x:c>
      <x:c r="S25" s="199" t="n">
        <x:f>SUMIFS(PQ_Actuals!$F$6:$F$2005,PQ_Actuals!$B$6:$B$2005,$A25,PQ_Actuals!$A$6:$A$2005,S$5)*$F25</x:f>
        <x:v>0.05</x:v>
      </x:c>
      <x:c r="T25" s="199" t="n">
        <x:f>IF($G25="Ending Balance",S25,SUM(H25:S25))</x:f>
        <x:v>0.05</x:v>
      </x:c>
      <x:c r="U25" s="200" t="n">
        <x:f>COUNTIF(PQ_Actuals!$B$6:$B$2005,$A25)</x:f>
        <x:v>1</x:v>
      </x:c>
    </x:row>
    <x:row r="26">
      <x:c r="A26" s="54" t="str">
        <x:v>9004</x:v>
      </x:c>
      <x:c r="B26" s="54" t="str">
        <x:v>Change in Accrued Expenses</x:v>
      </x:c>
      <x:c r="C26" s="54" t="str">
        <x:v>CF Activity</x:v>
      </x:c>
      <x:c r="D26" s="54" t="str">
        <x:v>Change in Accrued Expenses</x:v>
      </x:c>
      <x:c r="E26" s="54" t="str">
        <x:v>Cash Flow</x:v>
      </x:c>
      <x:c r="F26" s="198" t="n">
        <x:v>1</x:v>
      </x:c>
      <x:c r="G26" s="54" t="str">
        <x:v>Sum</x:v>
      </x:c>
      <x:c r="H26" s="199" t="n">
        <x:f>SUMIFS(PQ_Actuals!$F$6:$F$2005,PQ_Actuals!$B$6:$B$2005,$A26,PQ_Actuals!$A$6:$A$2005,H$5)*$F26</x:f>
        <x:v>0</x:v>
      </x:c>
      <x:c r="I26" s="199" t="n">
        <x:f>SUMIFS(PQ_Actuals!$F$6:$F$2005,PQ_Actuals!$B$6:$B$2005,$A26,PQ_Actuals!$A$6:$A$2005,I$5)*$F26</x:f>
        <x:v>0</x:v>
      </x:c>
      <x:c r="J26" s="199" t="n">
        <x:f>SUMIFS(PQ_Actuals!$F$6:$F$2005,PQ_Actuals!$B$6:$B$2005,$A26,PQ_Actuals!$A$6:$A$2005,J$5)*$F26</x:f>
        <x:v>0</x:v>
      </x:c>
      <x:c r="K26" s="199" t="n">
        <x:f>SUMIFS(PQ_Actuals!$F$6:$F$2005,PQ_Actuals!$B$6:$B$2005,$A26,PQ_Actuals!$A$6:$A$2005,K$5)*$F26</x:f>
        <x:v>0</x:v>
      </x:c>
      <x:c r="L26" s="199" t="n">
        <x:f>SUMIFS(PQ_Actuals!$F$6:$F$2005,PQ_Actuals!$B$6:$B$2005,$A26,PQ_Actuals!$A$6:$A$2005,L$5)*$F26</x:f>
        <x:v>0</x:v>
      </x:c>
      <x:c r="M26" s="199" t="n">
        <x:f>SUMIFS(PQ_Actuals!$F$6:$F$2005,PQ_Actuals!$B$6:$B$2005,$A26,PQ_Actuals!$A$6:$A$2005,M$5)*$F26</x:f>
        <x:v>0</x:v>
      </x:c>
      <x:c r="N26" s="199" t="n">
        <x:f>SUMIFS(PQ_Actuals!$F$6:$F$2005,PQ_Actuals!$B$6:$B$2005,$A26,PQ_Actuals!$A$6:$A$2005,N$5)*$F26</x:f>
        <x:v>0</x:v>
      </x:c>
      <x:c r="O26" s="199" t="n">
        <x:f>SUMIFS(PQ_Actuals!$F$6:$F$2005,PQ_Actuals!$B$6:$B$2005,$A26,PQ_Actuals!$A$6:$A$2005,O$5)*$F26</x:f>
        <x:v>0</x:v>
      </x:c>
      <x:c r="P26" s="199" t="n">
        <x:f>SUMIFS(PQ_Actuals!$F$6:$F$2005,PQ_Actuals!$B$6:$B$2005,$A26,PQ_Actuals!$A$6:$A$2005,P$5)*$F26</x:f>
        <x:v>0</x:v>
      </x:c>
      <x:c r="Q26" s="199" t="n">
        <x:f>SUMIFS(PQ_Actuals!$F$6:$F$2005,PQ_Actuals!$B$6:$B$2005,$A26,PQ_Actuals!$A$6:$A$2005,Q$5)*$F26</x:f>
        <x:v>0</x:v>
      </x:c>
      <x:c r="R26" s="199" t="n">
        <x:f>SUMIFS(PQ_Actuals!$F$6:$F$2005,PQ_Actuals!$B$6:$B$2005,$A26,PQ_Actuals!$A$6:$A$2005,R$5)*$F26</x:f>
        <x:v>0</x:v>
      </x:c>
      <x:c r="S26" s="199" t="n">
        <x:f>SUMIFS(PQ_Actuals!$F$6:$F$2005,PQ_Actuals!$B$6:$B$2005,$A26,PQ_Actuals!$A$6:$A$2005,S$5)*$F26</x:f>
        <x:v>0.1</x:v>
      </x:c>
      <x:c r="T26" s="199" t="n">
        <x:f>IF($G26="Ending Balance",S26,SUM(H26:S26))</x:f>
        <x:v>0.1</x:v>
      </x:c>
      <x:c r="U26" s="200" t="n">
        <x:f>COUNTIF(PQ_Actuals!$B$6:$B$2005,$A26)</x:f>
        <x:v>1</x:v>
      </x:c>
    </x:row>
    <x:row r="27">
      <x:c r="A27" s="54" t="str">
        <x:v>9005</x:v>
      </x:c>
      <x:c r="B27" s="54" t="str">
        <x:v>Change in Deferred Revenue</x:v>
      </x:c>
      <x:c r="C27" s="54" t="str">
        <x:v>CF Activity</x:v>
      </x:c>
      <x:c r="D27" s="54" t="str">
        <x:v>Change in Deferred Revenue</x:v>
      </x:c>
      <x:c r="E27" s="54" t="str">
        <x:v>Cash Flow</x:v>
      </x:c>
      <x:c r="F27" s="198" t="n">
        <x:v>1</x:v>
      </x:c>
      <x:c r="G27" s="54" t="str">
        <x:v>Sum</x:v>
      </x:c>
      <x:c r="H27" s="199" t="n">
        <x:f>SUMIFS(PQ_Actuals!$F$6:$F$2005,PQ_Actuals!$B$6:$B$2005,$A27,PQ_Actuals!$A$6:$A$2005,H$5)*$F27</x:f>
        <x:v>0</x:v>
      </x:c>
      <x:c r="I27" s="199" t="n">
        <x:f>SUMIFS(PQ_Actuals!$F$6:$F$2005,PQ_Actuals!$B$6:$B$2005,$A27,PQ_Actuals!$A$6:$A$2005,I$5)*$F27</x:f>
        <x:v>0</x:v>
      </x:c>
      <x:c r="J27" s="199" t="n">
        <x:f>SUMIFS(PQ_Actuals!$F$6:$F$2005,PQ_Actuals!$B$6:$B$2005,$A27,PQ_Actuals!$A$6:$A$2005,J$5)*$F27</x:f>
        <x:v>0</x:v>
      </x:c>
      <x:c r="K27" s="199" t="n">
        <x:f>SUMIFS(PQ_Actuals!$F$6:$F$2005,PQ_Actuals!$B$6:$B$2005,$A27,PQ_Actuals!$A$6:$A$2005,K$5)*$F27</x:f>
        <x:v>0</x:v>
      </x:c>
      <x:c r="L27" s="199" t="n">
        <x:f>SUMIFS(PQ_Actuals!$F$6:$F$2005,PQ_Actuals!$B$6:$B$2005,$A27,PQ_Actuals!$A$6:$A$2005,L$5)*$F27</x:f>
        <x:v>0</x:v>
      </x:c>
      <x:c r="M27" s="199" t="n">
        <x:f>SUMIFS(PQ_Actuals!$F$6:$F$2005,PQ_Actuals!$B$6:$B$2005,$A27,PQ_Actuals!$A$6:$A$2005,M$5)*$F27</x:f>
        <x:v>0</x:v>
      </x:c>
      <x:c r="N27" s="199" t="n">
        <x:f>SUMIFS(PQ_Actuals!$F$6:$F$2005,PQ_Actuals!$B$6:$B$2005,$A27,PQ_Actuals!$A$6:$A$2005,N$5)*$F27</x:f>
        <x:v>0</x:v>
      </x:c>
      <x:c r="O27" s="199" t="n">
        <x:f>SUMIFS(PQ_Actuals!$F$6:$F$2005,PQ_Actuals!$B$6:$B$2005,$A27,PQ_Actuals!$A$6:$A$2005,O$5)*$F27</x:f>
        <x:v>0</x:v>
      </x:c>
      <x:c r="P27" s="199" t="n">
        <x:f>SUMIFS(PQ_Actuals!$F$6:$F$2005,PQ_Actuals!$B$6:$B$2005,$A27,PQ_Actuals!$A$6:$A$2005,P$5)*$F27</x:f>
        <x:v>0</x:v>
      </x:c>
      <x:c r="Q27" s="199" t="n">
        <x:f>SUMIFS(PQ_Actuals!$F$6:$F$2005,PQ_Actuals!$B$6:$B$2005,$A27,PQ_Actuals!$A$6:$A$2005,Q$5)*$F27</x:f>
        <x:v>0</x:v>
      </x:c>
      <x:c r="R27" s="199" t="n">
        <x:f>SUMIFS(PQ_Actuals!$F$6:$F$2005,PQ_Actuals!$B$6:$B$2005,$A27,PQ_Actuals!$A$6:$A$2005,R$5)*$F27</x:f>
        <x:v>0</x:v>
      </x:c>
      <x:c r="S27" s="199" t="n">
        <x:f>SUMIFS(PQ_Actuals!$F$6:$F$2005,PQ_Actuals!$B$6:$B$2005,$A27,PQ_Actuals!$A$6:$A$2005,S$5)*$F27</x:f>
        <x:v>0.2</x:v>
      </x:c>
      <x:c r="T27" s="199" t="n">
        <x:f>IF($G27="Ending Balance",S27,SUM(H27:S27))</x:f>
        <x:v>0.2</x:v>
      </x:c>
      <x:c r="U27" s="200" t="n">
        <x:f>COUNTIF(PQ_Actuals!$B$6:$B$2005,$A27)</x:f>
        <x:v>1</x:v>
      </x:c>
    </x:row>
    <x:row r="28">
      <x:c r="A28" s="54" t="str">
        <x:v>9006</x:v>
      </x:c>
      <x:c r="B28" s="54" t="str">
        <x:v>Capital Expenditures</x:v>
      </x:c>
      <x:c r="C28" s="54" t="str">
        <x:v>CF Activity</x:v>
      </x:c>
      <x:c r="D28" s="54" t="str">
        <x:v>Capex</x:v>
      </x:c>
      <x:c r="E28" s="54" t="str">
        <x:v>Cash Flow</x:v>
      </x:c>
      <x:c r="F28" s="198" t="n">
        <x:v>1</x:v>
      </x:c>
      <x:c r="G28" s="54" t="str">
        <x:v>Sum</x:v>
      </x:c>
      <x:c r="H28" s="199" t="n">
        <x:f>SUMIFS(PQ_Actuals!$F$6:$F$2005,PQ_Actuals!$B$6:$B$2005,$A28,PQ_Actuals!$A$6:$A$2005,H$5)*$F28</x:f>
        <x:v>0</x:v>
      </x:c>
      <x:c r="I28" s="199" t="n">
        <x:f>SUMIFS(PQ_Actuals!$F$6:$F$2005,PQ_Actuals!$B$6:$B$2005,$A28,PQ_Actuals!$A$6:$A$2005,I$5)*$F28</x:f>
        <x:v>0</x:v>
      </x:c>
      <x:c r="J28" s="199" t="n">
        <x:f>SUMIFS(PQ_Actuals!$F$6:$F$2005,PQ_Actuals!$B$6:$B$2005,$A28,PQ_Actuals!$A$6:$A$2005,J$5)*$F28</x:f>
        <x:v>0</x:v>
      </x:c>
      <x:c r="K28" s="199" t="n">
        <x:f>SUMIFS(PQ_Actuals!$F$6:$F$2005,PQ_Actuals!$B$6:$B$2005,$A28,PQ_Actuals!$A$6:$A$2005,K$5)*$F28</x:f>
        <x:v>0</x:v>
      </x:c>
      <x:c r="L28" s="199" t="n">
        <x:f>SUMIFS(PQ_Actuals!$F$6:$F$2005,PQ_Actuals!$B$6:$B$2005,$A28,PQ_Actuals!$A$6:$A$2005,L$5)*$F28</x:f>
        <x:v>0</x:v>
      </x:c>
      <x:c r="M28" s="199" t="n">
        <x:f>SUMIFS(PQ_Actuals!$F$6:$F$2005,PQ_Actuals!$B$6:$B$2005,$A28,PQ_Actuals!$A$6:$A$2005,M$5)*$F28</x:f>
        <x:v>0</x:v>
      </x:c>
      <x:c r="N28" s="199" t="n">
        <x:f>SUMIFS(PQ_Actuals!$F$6:$F$2005,PQ_Actuals!$B$6:$B$2005,$A28,PQ_Actuals!$A$6:$A$2005,N$5)*$F28</x:f>
        <x:v>0</x:v>
      </x:c>
      <x:c r="O28" s="199" t="n">
        <x:f>SUMIFS(PQ_Actuals!$F$6:$F$2005,PQ_Actuals!$B$6:$B$2005,$A28,PQ_Actuals!$A$6:$A$2005,O$5)*$F28</x:f>
        <x:v>0</x:v>
      </x:c>
      <x:c r="P28" s="199" t="n">
        <x:f>SUMIFS(PQ_Actuals!$F$6:$F$2005,PQ_Actuals!$B$6:$B$2005,$A28,PQ_Actuals!$A$6:$A$2005,P$5)*$F28</x:f>
        <x:v>0</x:v>
      </x:c>
      <x:c r="Q28" s="199" t="n">
        <x:f>SUMIFS(PQ_Actuals!$F$6:$F$2005,PQ_Actuals!$B$6:$B$2005,$A28,PQ_Actuals!$A$6:$A$2005,Q$5)*$F28</x:f>
        <x:v>0</x:v>
      </x:c>
      <x:c r="R28" s="199" t="n">
        <x:f>SUMIFS(PQ_Actuals!$F$6:$F$2005,PQ_Actuals!$B$6:$B$2005,$A28,PQ_Actuals!$A$6:$A$2005,R$5)*$F28</x:f>
        <x:v>0</x:v>
      </x:c>
      <x:c r="S28" s="199" t="n">
        <x:f>SUMIFS(PQ_Actuals!$F$6:$F$2005,PQ_Actuals!$B$6:$B$2005,$A28,PQ_Actuals!$A$6:$A$2005,S$5)*$F28</x:f>
        <x:v>-0.5</x:v>
      </x:c>
      <x:c r="T28" s="199" t="n">
        <x:f>IF($G28="Ending Balance",S28,SUM(H28:S28))</x:f>
        <x:v>-0.5</x:v>
      </x:c>
      <x:c r="U28" s="200" t="n">
        <x:f>COUNTIF(PQ_Actuals!$B$6:$B$2005,$A28)</x:f>
        <x:v>1</x:v>
      </x:c>
    </x:row>
    <x:row r="29">
      <x:c r="A29" s="54" t="str">
        <x:v>9007</x:v>
      </x:c>
      <x:c r="B29" s="54" t="str">
        <x:v>Debt Repayment</x:v>
      </x:c>
      <x:c r="C29" s="54" t="str">
        <x:v>CF Activity</x:v>
      </x:c>
      <x:c r="D29" s="54" t="str">
        <x:v>Debt Repayment</x:v>
      </x:c>
      <x:c r="E29" s="54" t="str">
        <x:v>Cash Flow</x:v>
      </x:c>
      <x:c r="F29" s="198" t="n">
        <x:v>1</x:v>
      </x:c>
      <x:c r="G29" s="54" t="str">
        <x:v>Sum</x:v>
      </x:c>
      <x:c r="H29" s="199" t="n">
        <x:f>SUMIFS(PQ_Actuals!$F$6:$F$2005,PQ_Actuals!$B$6:$B$2005,$A29,PQ_Actuals!$A$6:$A$2005,H$5)*$F29</x:f>
        <x:v>0</x:v>
      </x:c>
      <x:c r="I29" s="199" t="n">
        <x:f>SUMIFS(PQ_Actuals!$F$6:$F$2005,PQ_Actuals!$B$6:$B$2005,$A29,PQ_Actuals!$A$6:$A$2005,I$5)*$F29</x:f>
        <x:v>0</x:v>
      </x:c>
      <x:c r="J29" s="199" t="n">
        <x:f>SUMIFS(PQ_Actuals!$F$6:$F$2005,PQ_Actuals!$B$6:$B$2005,$A29,PQ_Actuals!$A$6:$A$2005,J$5)*$F29</x:f>
        <x:v>0</x:v>
      </x:c>
      <x:c r="K29" s="199" t="n">
        <x:f>SUMIFS(PQ_Actuals!$F$6:$F$2005,PQ_Actuals!$B$6:$B$2005,$A29,PQ_Actuals!$A$6:$A$2005,K$5)*$F29</x:f>
        <x:v>0</x:v>
      </x:c>
      <x:c r="L29" s="199" t="n">
        <x:f>SUMIFS(PQ_Actuals!$F$6:$F$2005,PQ_Actuals!$B$6:$B$2005,$A29,PQ_Actuals!$A$6:$A$2005,L$5)*$F29</x:f>
        <x:v>0</x:v>
      </x:c>
      <x:c r="M29" s="199" t="n">
        <x:f>SUMIFS(PQ_Actuals!$F$6:$F$2005,PQ_Actuals!$B$6:$B$2005,$A29,PQ_Actuals!$A$6:$A$2005,M$5)*$F29</x:f>
        <x:v>0</x:v>
      </x:c>
      <x:c r="N29" s="199" t="n">
        <x:f>SUMIFS(PQ_Actuals!$F$6:$F$2005,PQ_Actuals!$B$6:$B$2005,$A29,PQ_Actuals!$A$6:$A$2005,N$5)*$F29</x:f>
        <x:v>0</x:v>
      </x:c>
      <x:c r="O29" s="199" t="n">
        <x:f>SUMIFS(PQ_Actuals!$F$6:$F$2005,PQ_Actuals!$B$6:$B$2005,$A29,PQ_Actuals!$A$6:$A$2005,O$5)*$F29</x:f>
        <x:v>0</x:v>
      </x:c>
      <x:c r="P29" s="199" t="n">
        <x:f>SUMIFS(PQ_Actuals!$F$6:$F$2005,PQ_Actuals!$B$6:$B$2005,$A29,PQ_Actuals!$A$6:$A$2005,P$5)*$F29</x:f>
        <x:v>0</x:v>
      </x:c>
      <x:c r="Q29" s="199" t="n">
        <x:f>SUMIFS(PQ_Actuals!$F$6:$F$2005,PQ_Actuals!$B$6:$B$2005,$A29,PQ_Actuals!$A$6:$A$2005,Q$5)*$F29</x:f>
        <x:v>0</x:v>
      </x:c>
      <x:c r="R29" s="199" t="n">
        <x:f>SUMIFS(PQ_Actuals!$F$6:$F$2005,PQ_Actuals!$B$6:$B$2005,$A29,PQ_Actuals!$A$6:$A$2005,R$5)*$F29</x:f>
        <x:v>0</x:v>
      </x:c>
      <x:c r="S29" s="199" t="n">
        <x:f>SUMIFS(PQ_Actuals!$F$6:$F$2005,PQ_Actuals!$B$6:$B$2005,$A29,PQ_Actuals!$A$6:$A$2005,S$5)*$F29</x:f>
        <x:v>-0.4</x:v>
      </x:c>
      <x:c r="T29" s="199" t="n">
        <x:f>IF($G29="Ending Balance",S29,SUM(H29:S29))</x:f>
        <x:v>-0.4</x:v>
      </x:c>
      <x:c r="U29" s="200" t="n">
        <x:f>COUNTIF(PQ_Actuals!$B$6:$B$2005,$A29)</x:f>
        <x:v>1</x:v>
      </x:c>
    </x:row>
    <x:row r="30">
      <x:c r="A30" s="54" t="str">
        <x:v>9008</x:v>
      </x:c>
      <x:c r="B30" s="54" t="str">
        <x:v>Dividends</x:v>
      </x:c>
      <x:c r="C30" s="54" t="str">
        <x:v>CF Activity</x:v>
      </x:c>
      <x:c r="D30" s="54" t="str">
        <x:v>Dividends</x:v>
      </x:c>
      <x:c r="E30" s="54" t="str">
        <x:v>Cash Flow</x:v>
      </x:c>
      <x:c r="F30" s="198" t="n">
        <x:v>1</x:v>
      </x:c>
      <x:c r="G30" s="54" t="str">
        <x:v>Sum</x:v>
      </x:c>
      <x:c r="H30" s="199" t="n">
        <x:f>SUMIFS(PQ_Actuals!$F$6:$F$2005,PQ_Actuals!$B$6:$B$2005,$A30,PQ_Actuals!$A$6:$A$2005,H$5)*$F30</x:f>
        <x:v>0</x:v>
      </x:c>
      <x:c r="I30" s="199" t="n">
        <x:f>SUMIFS(PQ_Actuals!$F$6:$F$2005,PQ_Actuals!$B$6:$B$2005,$A30,PQ_Actuals!$A$6:$A$2005,I$5)*$F30</x:f>
        <x:v>0</x:v>
      </x:c>
      <x:c r="J30" s="199" t="n">
        <x:f>SUMIFS(PQ_Actuals!$F$6:$F$2005,PQ_Actuals!$B$6:$B$2005,$A30,PQ_Actuals!$A$6:$A$2005,J$5)*$F30</x:f>
        <x:v>0</x:v>
      </x:c>
      <x:c r="K30" s="199" t="n">
        <x:f>SUMIFS(PQ_Actuals!$F$6:$F$2005,PQ_Actuals!$B$6:$B$2005,$A30,PQ_Actuals!$A$6:$A$2005,K$5)*$F30</x:f>
        <x:v>0</x:v>
      </x:c>
      <x:c r="L30" s="199" t="n">
        <x:f>SUMIFS(PQ_Actuals!$F$6:$F$2005,PQ_Actuals!$B$6:$B$2005,$A30,PQ_Actuals!$A$6:$A$2005,L$5)*$F30</x:f>
        <x:v>0</x:v>
      </x:c>
      <x:c r="M30" s="199" t="n">
        <x:f>SUMIFS(PQ_Actuals!$F$6:$F$2005,PQ_Actuals!$B$6:$B$2005,$A30,PQ_Actuals!$A$6:$A$2005,M$5)*$F30</x:f>
        <x:v>0</x:v>
      </x:c>
      <x:c r="N30" s="199" t="n">
        <x:f>SUMIFS(PQ_Actuals!$F$6:$F$2005,PQ_Actuals!$B$6:$B$2005,$A30,PQ_Actuals!$A$6:$A$2005,N$5)*$F30</x:f>
        <x:v>0</x:v>
      </x:c>
      <x:c r="O30" s="199" t="n">
        <x:f>SUMIFS(PQ_Actuals!$F$6:$F$2005,PQ_Actuals!$B$6:$B$2005,$A30,PQ_Actuals!$A$6:$A$2005,O$5)*$F30</x:f>
        <x:v>0</x:v>
      </x:c>
      <x:c r="P30" s="199" t="n">
        <x:f>SUMIFS(PQ_Actuals!$F$6:$F$2005,PQ_Actuals!$B$6:$B$2005,$A30,PQ_Actuals!$A$6:$A$2005,P$5)*$F30</x:f>
        <x:v>0</x:v>
      </x:c>
      <x:c r="Q30" s="199" t="n">
        <x:f>SUMIFS(PQ_Actuals!$F$6:$F$2005,PQ_Actuals!$B$6:$B$2005,$A30,PQ_Actuals!$A$6:$A$2005,Q$5)*$F30</x:f>
        <x:v>0</x:v>
      </x:c>
      <x:c r="R30" s="199" t="n">
        <x:f>SUMIFS(PQ_Actuals!$F$6:$F$2005,PQ_Actuals!$B$6:$B$2005,$A30,PQ_Actuals!$A$6:$A$2005,R$5)*$F30</x:f>
        <x:v>0</x:v>
      </x:c>
      <x:c r="S30" s="199" t="n">
        <x:f>SUMIFS(PQ_Actuals!$F$6:$F$2005,PQ_Actuals!$B$6:$B$2005,$A30,PQ_Actuals!$A$6:$A$2005,S$5)*$F30</x:f>
        <x:v>0</x:v>
      </x:c>
      <x:c r="T30" s="199" t="n">
        <x:f>IF($G30="Ending Balance",S30,SUM(H30:S30))</x:f>
        <x:v>0</x:v>
      </x:c>
      <x:c r="U30" s="200" t="n">
        <x:f>COUNTIF(PQ_Actuals!$B$6:$B$2005,$A30)</x:f>
        <x:v>1</x:v>
      </x:c>
    </x:row>
    <x:row r="31">
      <x:c r="A31" s="54" t="str">
        <x:v>9009</x:v>
      </x:c>
      <x:c r="B31" s="54" t="str">
        <x:v>Beginning Cash</x:v>
      </x:c>
      <x:c r="C31" s="54" t="str">
        <x:v>CF Value</x:v>
      </x:c>
      <x:c r="D31" s="54" t="str">
        <x:v>Beginning Cash</x:v>
      </x:c>
      <x:c r="E31" s="54" t="str">
        <x:v>Cash Flow</x:v>
      </x:c>
      <x:c r="F31" s="198" t="n">
        <x:v>1</x:v>
      </x:c>
      <x:c r="G31" s="54" t="str">
        <x:v>Ending Balance</x:v>
      </x:c>
      <x:c r="H31" s="199" t="n">
        <x:f>SUMIFS(PQ_Actuals!$F$6:$F$2005,PQ_Actuals!$B$6:$B$2005,$A31,PQ_Actuals!$A$6:$A$2005,H$5)*$F31</x:f>
        <x:v>0</x:v>
      </x:c>
      <x:c r="I31" s="199" t="n">
        <x:f>SUMIFS(PQ_Actuals!$F$6:$F$2005,PQ_Actuals!$B$6:$B$2005,$A31,PQ_Actuals!$A$6:$A$2005,I$5)*$F31</x:f>
        <x:v>0</x:v>
      </x:c>
      <x:c r="J31" s="199" t="n">
        <x:f>SUMIFS(PQ_Actuals!$F$6:$F$2005,PQ_Actuals!$B$6:$B$2005,$A31,PQ_Actuals!$A$6:$A$2005,J$5)*$F31</x:f>
        <x:v>0</x:v>
      </x:c>
      <x:c r="K31" s="199" t="n">
        <x:f>SUMIFS(PQ_Actuals!$F$6:$F$2005,PQ_Actuals!$B$6:$B$2005,$A31,PQ_Actuals!$A$6:$A$2005,K$5)*$F31</x:f>
        <x:v>0</x:v>
      </x:c>
      <x:c r="L31" s="199" t="n">
        <x:f>SUMIFS(PQ_Actuals!$F$6:$F$2005,PQ_Actuals!$B$6:$B$2005,$A31,PQ_Actuals!$A$6:$A$2005,L$5)*$F31</x:f>
        <x:v>0</x:v>
      </x:c>
      <x:c r="M31" s="199" t="n">
        <x:f>SUMIFS(PQ_Actuals!$F$6:$F$2005,PQ_Actuals!$B$6:$B$2005,$A31,PQ_Actuals!$A$6:$A$2005,M$5)*$F31</x:f>
        <x:v>0</x:v>
      </x:c>
      <x:c r="N31" s="199" t="n">
        <x:f>SUMIFS(PQ_Actuals!$F$6:$F$2005,PQ_Actuals!$B$6:$B$2005,$A31,PQ_Actuals!$A$6:$A$2005,N$5)*$F31</x:f>
        <x:v>0</x:v>
      </x:c>
      <x:c r="O31" s="199" t="n">
        <x:f>SUMIFS(PQ_Actuals!$F$6:$F$2005,PQ_Actuals!$B$6:$B$2005,$A31,PQ_Actuals!$A$6:$A$2005,O$5)*$F31</x:f>
        <x:v>0</x:v>
      </x:c>
      <x:c r="P31" s="199" t="n">
        <x:f>SUMIFS(PQ_Actuals!$F$6:$F$2005,PQ_Actuals!$B$6:$B$2005,$A31,PQ_Actuals!$A$6:$A$2005,P$5)*$F31</x:f>
        <x:v>0</x:v>
      </x:c>
      <x:c r="Q31" s="199" t="n">
        <x:f>SUMIFS(PQ_Actuals!$F$6:$F$2005,PQ_Actuals!$B$6:$B$2005,$A31,PQ_Actuals!$A$6:$A$2005,Q$5)*$F31</x:f>
        <x:v>0</x:v>
      </x:c>
      <x:c r="R31" s="199" t="n">
        <x:f>SUMIFS(PQ_Actuals!$F$6:$F$2005,PQ_Actuals!$B$6:$B$2005,$A31,PQ_Actuals!$A$6:$A$2005,R$5)*$F31</x:f>
        <x:v>0</x:v>
      </x:c>
      <x:c r="S31" s="199" t="n">
        <x:f>SUMIFS(PQ_Actuals!$F$6:$F$2005,PQ_Actuals!$B$6:$B$2005,$A31,PQ_Actuals!$A$6:$A$2005,S$5)*$F31</x:f>
        <x:v>3.275</x:v>
      </x:c>
      <x:c r="T31" s="199" t="n">
        <x:f>IF($G31="Ending Balance",S31,SUM(H31:S31))</x:f>
        <x:v>3.275</x:v>
      </x:c>
      <x:c r="U31" s="200" t="n">
        <x:f>COUNTIF(PQ_Actuals!$B$6:$B$2005,$A31)</x:f>
        <x:v>1</x:v>
      </x:c>
    </x:row>
  </x:sheetData>
  <x:mergeCells>
    <x:mergeCell ref="A1:U1"/>
    <x:mergeCell ref="A2:U2"/>
    <x:mergeCell ref="A4:U4"/>
  </x:mergeCells>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28" hidden="0" customWidth="1"/>
    <x:col min="3" max="3" width="48"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4" customHeight="1">
      <x:c r="A1" s="178" t="str">
        <x:v>Synthetic SaaS Company | Actuals Staging &amp; Import Controls</x:v>
      </x:c>
      <x:c r="B1" s="178"/>
      <x:c r="C1" s="178"/>
      <x:c r="D1" s="178"/>
      <x:c r="E1" s="178"/>
      <x:c r="F1" s="178"/>
      <x:c r="G1" s="178"/>
      <x:c r="H1" s="178"/>
      <x:c r="I1" s="178"/>
      <x:c r="J1" s="178"/>
      <x:c r="K1" s="178"/>
      <x:c r="L1" s="178"/>
      <x:c r="M1" s="178"/>
      <x:c r="N1" s="178"/>
      <x:c r="O1" s="178"/>
      <x:c r="P1" s="178"/>
      <x:c r="Q1" s="178"/>
    </x:row>
    <x:row r="2">
      <x:c r="A2" s="180" t="str">
        <x:v>CONTROL LAYER: validates the import, aggregates mapped accounts by financial-statement line, and feeds the existing Actuals_Input sheet.</x:v>
      </x:c>
      <x:c r="B2" s="180"/>
      <x:c r="C2" s="180"/>
      <x:c r="D2" s="180"/>
      <x:c r="E2" s="180"/>
      <x:c r="F2" s="180"/>
      <x:c r="G2" s="180"/>
      <x:c r="H2" s="180"/>
      <x:c r="I2" s="180"/>
      <x:c r="J2" s="180"/>
      <x:c r="K2" s="180"/>
      <x:c r="L2" s="180"/>
      <x:c r="M2" s="180"/>
      <x:c r="N2" s="180"/>
      <x:c r="O2" s="180"/>
      <x:c r="P2" s="180"/>
      <x:c r="Q2" s="180"/>
    </x:row>
    <x:row r="4">
      <x:c r="A4" s="183" t="str">
        <x:v>Import Diagnostics</x:v>
      </x:c>
      <x:c r="B4" s="183"/>
      <x:c r="C4" s="183"/>
      <x:c r="D4" s="183"/>
    </x:row>
    <x:row r="5">
      <x:c r="A5" s="202" t="str">
        <x:v>Reporting Year</x:v>
      </x:c>
      <x:c r="B5" s="203" t="n">
        <x:v>2026</x:v>
      </x:c>
      <x:c r="C5" s="204" t="str">
        <x:v>Target model actual year</x:v>
      </x:c>
      <x:c r="D5" s="204" t="str"/>
    </x:row>
    <x:row r="6">
      <x:c r="A6" s="202" t="str">
        <x:v>Imported Rows</x:v>
      </x:c>
      <x:c r="B6" s="205" t="n">
        <x:f>COUNTIF(PQ_Actuals!$B$6:$B$2005,"&lt;&gt;")</x:f>
        <x:v>213</x:v>
      </x:c>
      <x:c r="C6" s="204" t="str">
        <x:v>Rows loaded by Power Query</x:v>
      </x:c>
      <x:c r="D6" s="204" t="str"/>
    </x:row>
    <x:row r="7">
      <x:c r="A7" s="202" t="str">
        <x:v>Unmapped Rows</x:v>
      </x:c>
      <x:c r="B7" s="549" t="n">
        <x:f>COUNTIF(PQ_Actuals!$J$6:$J$2005,"UNMAPPED")</x:f>
        <x:v>0</x:v>
      </x:c>
      <x:c r="C7" s="204" t="str">
        <x:v>Must be zero before refresh is considered complete</x:v>
      </x:c>
      <x:c r="D7" s="204" t="str"/>
    </x:row>
    <x:row r="8">
      <x:c r="A8" s="202" t="str">
        <x:v>Control Status</x:v>
      </x:c>
      <x:c r="B8" s="549" t="str">
        <x:f>IF(B6=0,"NO DATA",IF(B7&gt;0,"REVIEW MAPPING",IF(Power_Query_Control!$F$11&lt;&gt;"READY","REVIEW REFRESH","READY")))</x:f>
        <x:v>READY</x:v>
      </x:c>
      <x:c r="C8" s="204" t="str">
        <x:v>Power Query + mapping gate</x:v>
      </x:c>
      <x:c r="D8" s="204" t="str"/>
    </x:row>
    <x:row r="9">
      <x:c r="A9" s="206" t="str">
        <x:v>Latest Period</x:v>
      </x:c>
      <x:c r="B9" s="207" t="n">
        <x:f>MAX(PQ_Actuals!$A$6:$A$2005)</x:f>
        <x:v>46387</x:v>
      </x:c>
      <x:c r="C9" s="208" t="str">
        <x:v>Latest period detected in Power Query output</x:v>
      </x:c>
      <x:c r="D9" s="208" t="str"/>
    </x:row>
    <x:row r="11">
      <x:c r="A11" s="183" t="str">
        <x:v>Staged Actuals by Model Line</x:v>
      </x:c>
      <x:c r="B11" s="183"/>
      <x:c r="C11" s="183"/>
      <x:c r="D11" s="183"/>
      <x:c r="E11" s="183"/>
      <x:c r="F11" s="183"/>
      <x:c r="G11" s="183"/>
      <x:c r="H11" s="183"/>
      <x:c r="I11" s="183"/>
      <x:c r="J11" s="183"/>
      <x:c r="K11" s="183"/>
      <x:c r="L11" s="183"/>
      <x:c r="M11" s="183"/>
      <x:c r="N11" s="183"/>
      <x:c r="O11" s="183"/>
      <x:c r="P11" s="183"/>
      <x:c r="Q11" s="183"/>
    </x:row>
    <x:row r="12">
      <x:c r="A12" s="188" t="str">
        <x:v>Data Type</x:v>
      </x:c>
      <x:c r="B12" s="188" t="str">
        <x:v>Model Line</x:v>
      </x:c>
      <x:c r="C12" s="188" t="str">
        <x:v>Aggregation</x:v>
      </x:c>
      <x:c r="D12" s="197" t="n">
        <x:v>46053</x:v>
      </x:c>
      <x:c r="E12" s="197" t="n">
        <x:v>46081</x:v>
      </x:c>
      <x:c r="F12" s="197" t="n">
        <x:v>46112</x:v>
      </x:c>
      <x:c r="G12" s="197" t="n">
        <x:v>46142</x:v>
      </x:c>
      <x:c r="H12" s="197" t="n">
        <x:v>46173</x:v>
      </x:c>
      <x:c r="I12" s="197" t="n">
        <x:v>46203</x:v>
      </x:c>
      <x:c r="J12" s="197" t="n">
        <x:v>46234</x:v>
      </x:c>
      <x:c r="K12" s="197" t="n">
        <x:v>46265</x:v>
      </x:c>
      <x:c r="L12" s="197" t="n">
        <x:v>46295</x:v>
      </x:c>
      <x:c r="M12" s="197" t="n">
        <x:v>46326</x:v>
      </x:c>
      <x:c r="N12" s="197" t="n">
        <x:v>46356</x:v>
      </x:c>
      <x:c r="O12" s="197" t="n">
        <x:v>46387</x:v>
      </x:c>
      <x:c r="P12" s="188" t="str">
        <x:v>FY2026A</x:v>
      </x:c>
      <x:c r="Q12" s="188" t="str">
        <x:v>Source Rows</x:v>
      </x:c>
    </x:row>
    <x:row r="13">
      <x:c r="A13" s="54" t="str">
        <x:v>P&amp;L Activity</x:v>
      </x:c>
      <x:c r="B13" s="54" t="str">
        <x:v>Revenue</x:v>
      </x:c>
      <x:c r="C13" s="54" t="str">
        <x:v>Sum</x:v>
      </x:c>
      <x:c r="D13" s="199" t="n">
        <x:f>SUMIF(Account_Map!$D$6:$D$31,$B13,Account_Map!$H$6:$H$31)</x:f>
        <x:v>1.42</x:v>
      </x:c>
      <x:c r="E13" s="199" t="n">
        <x:f>SUMIF(Account_Map!$D$6:$D$31,$B13,Account_Map!$I$6:$I$31)</x:f>
        <x:v>1.46</x:v>
      </x:c>
      <x:c r="F13" s="199" t="n">
        <x:f>SUMIF(Account_Map!$D$6:$D$31,$B13,Account_Map!$J$6:$J$31)</x:f>
        <x:v>1.5</x:v>
      </x:c>
      <x:c r="G13" s="199" t="n">
        <x:f>SUMIF(Account_Map!$D$6:$D$31,$B13,Account_Map!$K$6:$K$31)</x:f>
        <x:v>1.54</x:v>
      </x:c>
      <x:c r="H13" s="199" t="n">
        <x:f>SUMIF(Account_Map!$D$6:$D$31,$B13,Account_Map!$L$6:$L$31)</x:f>
        <x:v>1.58</x:v>
      </x:c>
      <x:c r="I13" s="199" t="n">
        <x:f>SUMIF(Account_Map!$D$6:$D$31,$B13,Account_Map!$M$6:$M$31)</x:f>
        <x:v>1.62</x:v>
      </x:c>
      <x:c r="J13" s="199" t="n">
        <x:f>SUMIF(Account_Map!$D$6:$D$31,$B13,Account_Map!$N$6:$N$31)</x:f>
        <x:v>1.66</x:v>
      </x:c>
      <x:c r="K13" s="199" t="n">
        <x:f>SUMIF(Account_Map!$D$6:$D$31,$B13,Account_Map!$O$6:$O$31)</x:f>
        <x:v>1.7</x:v>
      </x:c>
      <x:c r="L13" s="199" t="n">
        <x:f>SUMIF(Account_Map!$D$6:$D$31,$B13,Account_Map!$P$6:$P$31)</x:f>
        <x:v>1.74</x:v>
      </x:c>
      <x:c r="M13" s="199" t="n">
        <x:f>SUMIF(Account_Map!$D$6:$D$31,$B13,Account_Map!$Q$6:$Q$31)</x:f>
        <x:v>1.78</x:v>
      </x:c>
      <x:c r="N13" s="199" t="n">
        <x:f>SUMIF(Account_Map!$D$6:$D$31,$B13,Account_Map!$R$6:$R$31)</x:f>
        <x:v>1.92</x:v>
      </x:c>
      <x:c r="O13" s="199" t="n">
        <x:f>SUMIF(Account_Map!$D$6:$D$31,$B13,Account_Map!$S$6:$S$31)</x:f>
        <x:v>2.08</x:v>
      </x:c>
      <x:c r="P13" s="199" t="n">
        <x:f>SUMIF(Account_Map!$D$6:$D$31,$B13,Account_Map!$T$6:$T$31)</x:f>
        <x:v>20</x:v>
      </x:c>
      <x:c r="Q13" s="200" t="n">
        <x:f>SUMIF(Account_Map!$D$6:$D$31,$B13,Account_Map!$U$6:$U$31)</x:f>
        <x:v>12</x:v>
      </x:c>
    </x:row>
    <x:row r="14">
      <x:c r="A14" s="54" t="str">
        <x:v>P&amp;L Activity</x:v>
      </x:c>
      <x:c r="B14" s="54" t="str">
        <x:v>COGS</x:v>
      </x:c>
      <x:c r="C14" s="54" t="str">
        <x:v>Sum</x:v>
      </x:c>
      <x:c r="D14" s="199" t="n">
        <x:f>SUMIF(Account_Map!$D$6:$D$31,$B14,Account_Map!$H$6:$H$31)</x:f>
        <x:v>0.355</x:v>
      </x:c>
      <x:c r="E14" s="199" t="n">
        <x:f>SUMIF(Account_Map!$D$6:$D$31,$B14,Account_Map!$I$6:$I$31)</x:f>
        <x:v>0.365</x:v>
      </x:c>
      <x:c r="F14" s="199" t="n">
        <x:f>SUMIF(Account_Map!$D$6:$D$31,$B14,Account_Map!$J$6:$J$31)</x:f>
        <x:v>0.375</x:v>
      </x:c>
      <x:c r="G14" s="199" t="n">
        <x:f>SUMIF(Account_Map!$D$6:$D$31,$B14,Account_Map!$K$6:$K$31)</x:f>
        <x:v>0.385</x:v>
      </x:c>
      <x:c r="H14" s="199" t="n">
        <x:f>SUMIF(Account_Map!$D$6:$D$31,$B14,Account_Map!$L$6:$L$31)</x:f>
        <x:v>0.395</x:v>
      </x:c>
      <x:c r="I14" s="199" t="n">
        <x:f>SUMIF(Account_Map!$D$6:$D$31,$B14,Account_Map!$M$6:$M$31)</x:f>
        <x:v>0.405</x:v>
      </x:c>
      <x:c r="J14" s="199" t="n">
        <x:f>SUMIF(Account_Map!$D$6:$D$31,$B14,Account_Map!$N$6:$N$31)</x:f>
        <x:v>0.415</x:v>
      </x:c>
      <x:c r="K14" s="199" t="n">
        <x:f>SUMIF(Account_Map!$D$6:$D$31,$B14,Account_Map!$O$6:$O$31)</x:f>
        <x:v>0.425</x:v>
      </x:c>
      <x:c r="L14" s="199" t="n">
        <x:f>SUMIF(Account_Map!$D$6:$D$31,$B14,Account_Map!$P$6:$P$31)</x:f>
        <x:v>0.435</x:v>
      </x:c>
      <x:c r="M14" s="199" t="n">
        <x:f>SUMIF(Account_Map!$D$6:$D$31,$B14,Account_Map!$Q$6:$Q$31)</x:f>
        <x:v>0.445</x:v>
      </x:c>
      <x:c r="N14" s="199" t="n">
        <x:f>SUMIF(Account_Map!$D$6:$D$31,$B14,Account_Map!$R$6:$R$31)</x:f>
        <x:v>0.48</x:v>
      </x:c>
      <x:c r="O14" s="199" t="n">
        <x:f>SUMIF(Account_Map!$D$6:$D$31,$B14,Account_Map!$S$6:$S$31)</x:f>
        <x:v>0.52</x:v>
      </x:c>
      <x:c r="P14" s="199" t="n">
        <x:f>SUMIF(Account_Map!$D$6:$D$31,$B14,Account_Map!$T$6:$T$31)</x:f>
        <x:v>5</x:v>
      </x:c>
      <x:c r="Q14" s="200" t="n">
        <x:f>SUMIF(Account_Map!$D$6:$D$31,$B14,Account_Map!$U$6:$U$31)</x:f>
        <x:v>12</x:v>
      </x:c>
    </x:row>
    <x:row r="15">
      <x:c r="A15" s="54" t="str">
        <x:v>P&amp;L Activity</x:v>
      </x:c>
      <x:c r="B15" s="54" t="str">
        <x:v>Sales &amp; Marketing</x:v>
      </x:c>
      <x:c r="C15" s="54" t="str">
        <x:v>Sum</x:v>
      </x:c>
      <x:c r="D15" s="199" t="n">
        <x:f>SUMIF(Account_Map!$D$6:$D$31,$B15,Account_Map!$H$6:$H$31)</x:f>
        <x:v>0.426</x:v>
      </x:c>
      <x:c r="E15" s="199" t="n">
        <x:f>SUMIF(Account_Map!$D$6:$D$31,$B15,Account_Map!$I$6:$I$31)</x:f>
        <x:v>0.438</x:v>
      </x:c>
      <x:c r="F15" s="199" t="n">
        <x:f>SUMIF(Account_Map!$D$6:$D$31,$B15,Account_Map!$J$6:$J$31)</x:f>
        <x:v>0.45</x:v>
      </x:c>
      <x:c r="G15" s="199" t="n">
        <x:f>SUMIF(Account_Map!$D$6:$D$31,$B15,Account_Map!$K$6:$K$31)</x:f>
        <x:v>0.462</x:v>
      </x:c>
      <x:c r="H15" s="199" t="n">
        <x:f>SUMIF(Account_Map!$D$6:$D$31,$B15,Account_Map!$L$6:$L$31)</x:f>
        <x:v>0.474</x:v>
      </x:c>
      <x:c r="I15" s="199" t="n">
        <x:f>SUMIF(Account_Map!$D$6:$D$31,$B15,Account_Map!$M$6:$M$31)</x:f>
        <x:v>0.486</x:v>
      </x:c>
      <x:c r="J15" s="199" t="n">
        <x:f>SUMIF(Account_Map!$D$6:$D$31,$B15,Account_Map!$N$6:$N$31)</x:f>
        <x:v>0.498</x:v>
      </x:c>
      <x:c r="K15" s="199" t="n">
        <x:f>SUMIF(Account_Map!$D$6:$D$31,$B15,Account_Map!$O$6:$O$31)</x:f>
        <x:v>0.51</x:v>
      </x:c>
      <x:c r="L15" s="199" t="n">
        <x:f>SUMIF(Account_Map!$D$6:$D$31,$B15,Account_Map!$P$6:$P$31)</x:f>
        <x:v>0.522</x:v>
      </x:c>
      <x:c r="M15" s="199" t="n">
        <x:f>SUMIF(Account_Map!$D$6:$D$31,$B15,Account_Map!$Q$6:$Q$31)</x:f>
        <x:v>0.534</x:v>
      </x:c>
      <x:c r="N15" s="199" t="n">
        <x:f>SUMIF(Account_Map!$D$6:$D$31,$B15,Account_Map!$R$6:$R$31)</x:f>
        <x:v>0.576</x:v>
      </x:c>
      <x:c r="O15" s="199" t="n">
        <x:f>SUMIF(Account_Map!$D$6:$D$31,$B15,Account_Map!$S$6:$S$31)</x:f>
        <x:v>0.624</x:v>
      </x:c>
      <x:c r="P15" s="199" t="n">
        <x:f>SUMIF(Account_Map!$D$6:$D$31,$B15,Account_Map!$T$6:$T$31)</x:f>
        <x:v>5.999999999999999</x:v>
      </x:c>
      <x:c r="Q15" s="200" t="n">
        <x:f>SUMIF(Account_Map!$D$6:$D$31,$B15,Account_Map!$U$6:$U$31)</x:f>
        <x:v>12</x:v>
      </x:c>
    </x:row>
    <x:row r="16">
      <x:c r="A16" s="54" t="str">
        <x:v>P&amp;L Activity</x:v>
      </x:c>
      <x:c r="B16" s="54" t="str">
        <x:v>R&amp;D</x:v>
      </x:c>
      <x:c r="C16" s="54" t="str">
        <x:v>Sum</x:v>
      </x:c>
      <x:c r="D16" s="199" t="n">
        <x:f>SUMIF(Account_Map!$D$6:$D$31,$B16,Account_Map!$H$6:$H$31)</x:f>
        <x:v>0.2556</x:v>
      </x:c>
      <x:c r="E16" s="199" t="n">
        <x:f>SUMIF(Account_Map!$D$6:$D$31,$B16,Account_Map!$I$6:$I$31)</x:f>
        <x:v>0.2628</x:v>
      </x:c>
      <x:c r="F16" s="199" t="n">
        <x:f>SUMIF(Account_Map!$D$6:$D$31,$B16,Account_Map!$J$6:$J$31)</x:f>
        <x:v>0.27</x:v>
      </x:c>
      <x:c r="G16" s="199" t="n">
        <x:f>SUMIF(Account_Map!$D$6:$D$31,$B16,Account_Map!$K$6:$K$31)</x:f>
        <x:v>0.2772</x:v>
      </x:c>
      <x:c r="H16" s="199" t="n">
        <x:f>SUMIF(Account_Map!$D$6:$D$31,$B16,Account_Map!$L$6:$L$31)</x:f>
        <x:v>0.2844</x:v>
      </x:c>
      <x:c r="I16" s="199" t="n">
        <x:f>SUMIF(Account_Map!$D$6:$D$31,$B16,Account_Map!$M$6:$M$31)</x:f>
        <x:v>0.2916</x:v>
      </x:c>
      <x:c r="J16" s="199" t="n">
        <x:f>SUMIF(Account_Map!$D$6:$D$31,$B16,Account_Map!$N$6:$N$31)</x:f>
        <x:v>0.2988</x:v>
      </x:c>
      <x:c r="K16" s="199" t="n">
        <x:f>SUMIF(Account_Map!$D$6:$D$31,$B16,Account_Map!$O$6:$O$31)</x:f>
        <x:v>0.306</x:v>
      </x:c>
      <x:c r="L16" s="199" t="n">
        <x:f>SUMIF(Account_Map!$D$6:$D$31,$B16,Account_Map!$P$6:$P$31)</x:f>
        <x:v>0.3132</x:v>
      </x:c>
      <x:c r="M16" s="199" t="n">
        <x:f>SUMIF(Account_Map!$D$6:$D$31,$B16,Account_Map!$Q$6:$Q$31)</x:f>
        <x:v>0.3204</x:v>
      </x:c>
      <x:c r="N16" s="199" t="n">
        <x:f>SUMIF(Account_Map!$D$6:$D$31,$B16,Account_Map!$R$6:$R$31)</x:f>
        <x:v>0.3456</x:v>
      </x:c>
      <x:c r="O16" s="199" t="n">
        <x:f>SUMIF(Account_Map!$D$6:$D$31,$B16,Account_Map!$S$6:$S$31)</x:f>
        <x:v>0.3744</x:v>
      </x:c>
      <x:c r="P16" s="199" t="n">
        <x:f>SUMIF(Account_Map!$D$6:$D$31,$B16,Account_Map!$T$6:$T$31)</x:f>
        <x:v>3.6</x:v>
      </x:c>
      <x:c r="Q16" s="200" t="n">
        <x:f>SUMIF(Account_Map!$D$6:$D$31,$B16,Account_Map!$U$6:$U$31)</x:f>
        <x:v>12</x:v>
      </x:c>
    </x:row>
    <x:row r="17">
      <x:c r="A17" s="54" t="str">
        <x:v>P&amp;L Activity</x:v>
      </x:c>
      <x:c r="B17" s="54" t="str">
        <x:v>G&amp;A</x:v>
      </x:c>
      <x:c r="C17" s="54" t="str">
        <x:v>Sum</x:v>
      </x:c>
      <x:c r="D17" s="199" t="n">
        <x:f>SUMIF(Account_Map!$D$6:$D$31,$B17,Account_Map!$H$6:$H$31)</x:f>
        <x:v>0.213</x:v>
      </x:c>
      <x:c r="E17" s="199" t="n">
        <x:f>SUMIF(Account_Map!$D$6:$D$31,$B17,Account_Map!$I$6:$I$31)</x:f>
        <x:v>0.219</x:v>
      </x:c>
      <x:c r="F17" s="199" t="n">
        <x:f>SUMIF(Account_Map!$D$6:$D$31,$B17,Account_Map!$J$6:$J$31)</x:f>
        <x:v>0.225</x:v>
      </x:c>
      <x:c r="G17" s="199" t="n">
        <x:f>SUMIF(Account_Map!$D$6:$D$31,$B17,Account_Map!$K$6:$K$31)</x:f>
        <x:v>0.231</x:v>
      </x:c>
      <x:c r="H17" s="199" t="n">
        <x:f>SUMIF(Account_Map!$D$6:$D$31,$B17,Account_Map!$L$6:$L$31)</x:f>
        <x:v>0.237</x:v>
      </x:c>
      <x:c r="I17" s="199" t="n">
        <x:f>SUMIF(Account_Map!$D$6:$D$31,$B17,Account_Map!$M$6:$M$31)</x:f>
        <x:v>0.243</x:v>
      </x:c>
      <x:c r="J17" s="199" t="n">
        <x:f>SUMIF(Account_Map!$D$6:$D$31,$B17,Account_Map!$N$6:$N$31)</x:f>
        <x:v>0.249</x:v>
      </x:c>
      <x:c r="K17" s="199" t="n">
        <x:f>SUMIF(Account_Map!$D$6:$D$31,$B17,Account_Map!$O$6:$O$31)</x:f>
        <x:v>0.255</x:v>
      </x:c>
      <x:c r="L17" s="199" t="n">
        <x:f>SUMIF(Account_Map!$D$6:$D$31,$B17,Account_Map!$P$6:$P$31)</x:f>
        <x:v>0.261</x:v>
      </x:c>
      <x:c r="M17" s="199" t="n">
        <x:f>SUMIF(Account_Map!$D$6:$D$31,$B17,Account_Map!$Q$6:$Q$31)</x:f>
        <x:v>0.267</x:v>
      </x:c>
      <x:c r="N17" s="199" t="n">
        <x:f>SUMIF(Account_Map!$D$6:$D$31,$B17,Account_Map!$R$6:$R$31)</x:f>
        <x:v>0.288</x:v>
      </x:c>
      <x:c r="O17" s="199" t="n">
        <x:f>SUMIF(Account_Map!$D$6:$D$31,$B17,Account_Map!$S$6:$S$31)</x:f>
        <x:v>0.312</x:v>
      </x:c>
      <x:c r="P17" s="199" t="n">
        <x:f>SUMIF(Account_Map!$D$6:$D$31,$B17,Account_Map!$T$6:$T$31)</x:f>
        <x:v>2.9999999999999996</x:v>
      </x:c>
      <x:c r="Q17" s="200" t="n">
        <x:f>SUMIF(Account_Map!$D$6:$D$31,$B17,Account_Map!$U$6:$U$31)</x:f>
        <x:v>12</x:v>
      </x:c>
    </x:row>
    <x:row r="18">
      <x:c r="A18" s="54" t="str">
        <x:v>P&amp;L Activity</x:v>
      </x:c>
      <x:c r="B18" s="54" t="str">
        <x:v>D&amp;A</x:v>
      </x:c>
      <x:c r="C18" s="54" t="str">
        <x:v>Sum</x:v>
      </x:c>
      <x:c r="D18" s="199" t="n">
        <x:f>SUMIF(Account_Map!$D$6:$D$31,$B18,Account_Map!$H$6:$H$31)</x:f>
        <x:v>0.0284</x:v>
      </x:c>
      <x:c r="E18" s="199" t="n">
        <x:f>SUMIF(Account_Map!$D$6:$D$31,$B18,Account_Map!$I$6:$I$31)</x:f>
        <x:v>0.0292</x:v>
      </x:c>
      <x:c r="F18" s="199" t="n">
        <x:f>SUMIF(Account_Map!$D$6:$D$31,$B18,Account_Map!$J$6:$J$31)</x:f>
        <x:v>0.03</x:v>
      </x:c>
      <x:c r="G18" s="199" t="n">
        <x:f>SUMIF(Account_Map!$D$6:$D$31,$B18,Account_Map!$K$6:$K$31)</x:f>
        <x:v>0.0308</x:v>
      </x:c>
      <x:c r="H18" s="199" t="n">
        <x:f>SUMIF(Account_Map!$D$6:$D$31,$B18,Account_Map!$L$6:$L$31)</x:f>
        <x:v>0.0316</x:v>
      </x:c>
      <x:c r="I18" s="199" t="n">
        <x:f>SUMIF(Account_Map!$D$6:$D$31,$B18,Account_Map!$M$6:$M$31)</x:f>
        <x:v>0.0324</x:v>
      </x:c>
      <x:c r="J18" s="199" t="n">
        <x:f>SUMIF(Account_Map!$D$6:$D$31,$B18,Account_Map!$N$6:$N$31)</x:f>
        <x:v>0.0332</x:v>
      </x:c>
      <x:c r="K18" s="199" t="n">
        <x:f>SUMIF(Account_Map!$D$6:$D$31,$B18,Account_Map!$O$6:$O$31)</x:f>
        <x:v>0.034</x:v>
      </x:c>
      <x:c r="L18" s="199" t="n">
        <x:f>SUMIF(Account_Map!$D$6:$D$31,$B18,Account_Map!$P$6:$P$31)</x:f>
        <x:v>0.0348</x:v>
      </x:c>
      <x:c r="M18" s="199" t="n">
        <x:f>SUMIF(Account_Map!$D$6:$D$31,$B18,Account_Map!$Q$6:$Q$31)</x:f>
        <x:v>0.0356</x:v>
      </x:c>
      <x:c r="N18" s="199" t="n">
        <x:f>SUMIF(Account_Map!$D$6:$D$31,$B18,Account_Map!$R$6:$R$31)</x:f>
        <x:v>0.0384</x:v>
      </x:c>
      <x:c r="O18" s="199" t="n">
        <x:f>SUMIF(Account_Map!$D$6:$D$31,$B18,Account_Map!$S$6:$S$31)</x:f>
        <x:v>0.0416</x:v>
      </x:c>
      <x:c r="P18" s="199" t="n">
        <x:f>SUMIF(Account_Map!$D$6:$D$31,$B18,Account_Map!$T$6:$T$31)</x:f>
        <x:v>0.4</x:v>
      </x:c>
      <x:c r="Q18" s="200" t="n">
        <x:f>SUMIF(Account_Map!$D$6:$D$31,$B18,Account_Map!$U$6:$U$31)</x:f>
        <x:v>12</x:v>
      </x:c>
    </x:row>
    <x:row r="19">
      <x:c r="A19" s="54" t="str">
        <x:v>P&amp;L Activity</x:v>
      </x:c>
      <x:c r="B19" s="54" t="str">
        <x:v>Interest Expense</x:v>
      </x:c>
      <x:c r="C19" s="54" t="str">
        <x:v>Sum</x:v>
      </x:c>
      <x:c r="D19" s="199" t="n">
        <x:f>SUMIF(Account_Map!$D$6:$D$31,$B19,Account_Map!$H$6:$H$31)</x:f>
        <x:v>0.0213</x:v>
      </x:c>
      <x:c r="E19" s="199" t="n">
        <x:f>SUMIF(Account_Map!$D$6:$D$31,$B19,Account_Map!$I$6:$I$31)</x:f>
        <x:v>0.0219</x:v>
      </x:c>
      <x:c r="F19" s="199" t="n">
        <x:f>SUMIF(Account_Map!$D$6:$D$31,$B19,Account_Map!$J$6:$J$31)</x:f>
        <x:v>0.0225</x:v>
      </x:c>
      <x:c r="G19" s="199" t="n">
        <x:f>SUMIF(Account_Map!$D$6:$D$31,$B19,Account_Map!$K$6:$K$31)</x:f>
        <x:v>0.0231</x:v>
      </x:c>
      <x:c r="H19" s="199" t="n">
        <x:f>SUMIF(Account_Map!$D$6:$D$31,$B19,Account_Map!$L$6:$L$31)</x:f>
        <x:v>0.0237</x:v>
      </x:c>
      <x:c r="I19" s="199" t="n">
        <x:f>SUMIF(Account_Map!$D$6:$D$31,$B19,Account_Map!$M$6:$M$31)</x:f>
        <x:v>0.0243</x:v>
      </x:c>
      <x:c r="J19" s="199" t="n">
        <x:f>SUMIF(Account_Map!$D$6:$D$31,$B19,Account_Map!$N$6:$N$31)</x:f>
        <x:v>0.0249</x:v>
      </x:c>
      <x:c r="K19" s="199" t="n">
        <x:f>SUMIF(Account_Map!$D$6:$D$31,$B19,Account_Map!$O$6:$O$31)</x:f>
        <x:v>0.0255</x:v>
      </x:c>
      <x:c r="L19" s="199" t="n">
        <x:f>SUMIF(Account_Map!$D$6:$D$31,$B19,Account_Map!$P$6:$P$31)</x:f>
        <x:v>0.0261</x:v>
      </x:c>
      <x:c r="M19" s="199" t="n">
        <x:f>SUMIF(Account_Map!$D$6:$D$31,$B19,Account_Map!$Q$6:$Q$31)</x:f>
        <x:v>0.0267</x:v>
      </x:c>
      <x:c r="N19" s="199" t="n">
        <x:f>SUMIF(Account_Map!$D$6:$D$31,$B19,Account_Map!$R$6:$R$31)</x:f>
        <x:v>0.0288</x:v>
      </x:c>
      <x:c r="O19" s="199" t="n">
        <x:f>SUMIF(Account_Map!$D$6:$D$31,$B19,Account_Map!$S$6:$S$31)</x:f>
        <x:v>0.0312</x:v>
      </x:c>
      <x:c r="P19" s="199" t="n">
        <x:f>SUMIF(Account_Map!$D$6:$D$31,$B19,Account_Map!$T$6:$T$31)</x:f>
        <x:v>0.30000000000000004</x:v>
      </x:c>
      <x:c r="Q19" s="200" t="n">
        <x:f>SUMIF(Account_Map!$D$6:$D$31,$B19,Account_Map!$U$6:$U$31)</x:f>
        <x:v>12</x:v>
      </x:c>
    </x:row>
    <x:row r="20">
      <x:c r="A20" s="54" t="str">
        <x:v>P&amp;L Activity</x:v>
      </x:c>
      <x:c r="B20" s="54" t="str">
        <x:v>Taxes</x:v>
      </x:c>
      <x:c r="C20" s="54" t="str">
        <x:v>Sum</x:v>
      </x:c>
      <x:c r="D20" s="199" t="n">
        <x:f>SUMIF(Account_Map!$D$6:$D$31,$B20,Account_Map!$H$6:$H$31)</x:f>
        <x:v>0.030175</x:v>
      </x:c>
      <x:c r="E20" s="199" t="n">
        <x:f>SUMIF(Account_Map!$D$6:$D$31,$B20,Account_Map!$I$6:$I$31)</x:f>
        <x:v>0.031025</x:v>
      </x:c>
      <x:c r="F20" s="199" t="n">
        <x:f>SUMIF(Account_Map!$D$6:$D$31,$B20,Account_Map!$J$6:$J$31)</x:f>
        <x:v>0.031875</x:v>
      </x:c>
      <x:c r="G20" s="199" t="n">
        <x:f>SUMIF(Account_Map!$D$6:$D$31,$B20,Account_Map!$K$6:$K$31)</x:f>
        <x:v>0.032725</x:v>
      </x:c>
      <x:c r="H20" s="199" t="n">
        <x:f>SUMIF(Account_Map!$D$6:$D$31,$B20,Account_Map!$L$6:$L$31)</x:f>
        <x:v>0.033575</x:v>
      </x:c>
      <x:c r="I20" s="199" t="n">
        <x:f>SUMIF(Account_Map!$D$6:$D$31,$B20,Account_Map!$M$6:$M$31)</x:f>
        <x:v>0.034425</x:v>
      </x:c>
      <x:c r="J20" s="199" t="n">
        <x:f>SUMIF(Account_Map!$D$6:$D$31,$B20,Account_Map!$N$6:$N$31)</x:f>
        <x:v>0.035275</x:v>
      </x:c>
      <x:c r="K20" s="199" t="n">
        <x:f>SUMIF(Account_Map!$D$6:$D$31,$B20,Account_Map!$O$6:$O$31)</x:f>
        <x:v>0.036125</x:v>
      </x:c>
      <x:c r="L20" s="199" t="n">
        <x:f>SUMIF(Account_Map!$D$6:$D$31,$B20,Account_Map!$P$6:$P$31)</x:f>
        <x:v>0.036975</x:v>
      </x:c>
      <x:c r="M20" s="199" t="n">
        <x:f>SUMIF(Account_Map!$D$6:$D$31,$B20,Account_Map!$Q$6:$Q$31)</x:f>
        <x:v>0.037825</x:v>
      </x:c>
      <x:c r="N20" s="199" t="n">
        <x:f>SUMIF(Account_Map!$D$6:$D$31,$B20,Account_Map!$R$6:$R$31)</x:f>
        <x:v>0.0408</x:v>
      </x:c>
      <x:c r="O20" s="199" t="n">
        <x:f>SUMIF(Account_Map!$D$6:$D$31,$B20,Account_Map!$S$6:$S$31)</x:f>
        <x:v>0.0442</x:v>
      </x:c>
      <x:c r="P20" s="199" t="n">
        <x:f>SUMIF(Account_Map!$D$6:$D$31,$B20,Account_Map!$T$6:$T$31)</x:f>
        <x:v>0.425</x:v>
      </x:c>
      <x:c r="Q20" s="200" t="n">
        <x:f>SUMIF(Account_Map!$D$6:$D$31,$B20,Account_Map!$U$6:$U$31)</x:f>
        <x:v>12</x:v>
      </x:c>
    </x:row>
    <x:row r="21">
      <x:c r="A21" s="54" t="str">
        <x:v>BS Snapshot</x:v>
      </x:c>
      <x:c r="B21" s="54" t="str">
        <x:v>Cash</x:v>
      </x:c>
      <x:c r="C21" s="54" t="str">
        <x:v>Ending Balance</x:v>
      </x:c>
      <x:c r="D21" s="199" t="n">
        <x:f>SUMIF(Account_Map!$D$6:$D$31,$B21,Account_Map!$H$6:$H$31)</x:f>
        <x:v>3.404167</x:v>
      </x:c>
      <x:c r="E21" s="199" t="n">
        <x:f>SUMIF(Account_Map!$D$6:$D$31,$B21,Account_Map!$I$6:$I$31)</x:f>
        <x:v>3.458333</x:v>
      </x:c>
      <x:c r="F21" s="199" t="n">
        <x:f>SUMIF(Account_Map!$D$6:$D$31,$B21,Account_Map!$J$6:$J$31)</x:f>
        <x:v>3.5125</x:v>
      </x:c>
      <x:c r="G21" s="199" t="n">
        <x:f>SUMIF(Account_Map!$D$6:$D$31,$B21,Account_Map!$K$6:$K$31)</x:f>
        <x:v>3.566667</x:v>
      </x:c>
      <x:c r="H21" s="199" t="n">
        <x:f>SUMIF(Account_Map!$D$6:$D$31,$B21,Account_Map!$L$6:$L$31)</x:f>
        <x:v>3.620833</x:v>
      </x:c>
      <x:c r="I21" s="199" t="n">
        <x:f>SUMIF(Account_Map!$D$6:$D$31,$B21,Account_Map!$M$6:$M$31)</x:f>
        <x:v>3.675</x:v>
      </x:c>
      <x:c r="J21" s="199" t="n">
        <x:f>SUMIF(Account_Map!$D$6:$D$31,$B21,Account_Map!$N$6:$N$31)</x:f>
        <x:v>3.729167</x:v>
      </x:c>
      <x:c r="K21" s="199" t="n">
        <x:f>SUMIF(Account_Map!$D$6:$D$31,$B21,Account_Map!$O$6:$O$31)</x:f>
        <x:v>3.783333</x:v>
      </x:c>
      <x:c r="L21" s="199" t="n">
        <x:f>SUMIF(Account_Map!$D$6:$D$31,$B21,Account_Map!$P$6:$P$31)</x:f>
        <x:v>3.8375</x:v>
      </x:c>
      <x:c r="M21" s="199" t="n">
        <x:f>SUMIF(Account_Map!$D$6:$D$31,$B21,Account_Map!$Q$6:$Q$31)</x:f>
        <x:v>3.891667</x:v>
      </x:c>
      <x:c r="N21" s="199" t="n">
        <x:f>SUMIF(Account_Map!$D$6:$D$31,$B21,Account_Map!$R$6:$R$31)</x:f>
        <x:v>3.945833</x:v>
      </x:c>
      <x:c r="O21" s="199" t="n">
        <x:f>SUMIF(Account_Map!$D$6:$D$31,$B21,Account_Map!$S$6:$S$31)</x:f>
        <x:v>4</x:v>
      </x:c>
      <x:c r="P21" s="199" t="n">
        <x:f>SUMIF(Account_Map!$D$6:$D$31,$B21,Account_Map!$T$6:$T$31)</x:f>
        <x:v>4</x:v>
      </x:c>
      <x:c r="Q21" s="200" t="n">
        <x:f>SUMIF(Account_Map!$D$6:$D$31,$B21,Account_Map!$U$6:$U$31)</x:f>
        <x:v>12</x:v>
      </x:c>
    </x:row>
    <x:row r="22">
      <x:c r="A22" s="54" t="str">
        <x:v>BS Snapshot</x:v>
      </x:c>
      <x:c r="B22" s="54" t="str">
        <x:v>Accounts Receivable</x:v>
      </x:c>
      <x:c r="C22" s="54" t="str">
        <x:v>Ending Balance</x:v>
      </x:c>
      <x:c r="D22" s="199" t="n">
        <x:f>SUMIF(Account_Map!$D$6:$D$31,$B22,Account_Map!$H$6:$H$31)</x:f>
        <x:v>2.130479</x:v>
      </x:c>
      <x:c r="E22" s="199" t="n">
        <x:f>SUMIF(Account_Map!$D$6:$D$31,$B22,Account_Map!$I$6:$I$31)</x:f>
        <x:v>2.160959</x:v>
      </x:c>
      <x:c r="F22" s="199" t="n">
        <x:f>SUMIF(Account_Map!$D$6:$D$31,$B22,Account_Map!$J$6:$J$31)</x:f>
        <x:v>2.191438</x:v>
      </x:c>
      <x:c r="G22" s="199" t="n">
        <x:f>SUMIF(Account_Map!$D$6:$D$31,$B22,Account_Map!$K$6:$K$31)</x:f>
        <x:v>2.221918</x:v>
      </x:c>
      <x:c r="H22" s="199" t="n">
        <x:f>SUMIF(Account_Map!$D$6:$D$31,$B22,Account_Map!$L$6:$L$31)</x:f>
        <x:v>2.252397</x:v>
      </x:c>
      <x:c r="I22" s="199" t="n">
        <x:f>SUMIF(Account_Map!$D$6:$D$31,$B22,Account_Map!$M$6:$M$31)</x:f>
        <x:v>2.282877</x:v>
      </x:c>
      <x:c r="J22" s="199" t="n">
        <x:f>SUMIF(Account_Map!$D$6:$D$31,$B22,Account_Map!$N$6:$N$31)</x:f>
        <x:v>2.313356</x:v>
      </x:c>
      <x:c r="K22" s="199" t="n">
        <x:f>SUMIF(Account_Map!$D$6:$D$31,$B22,Account_Map!$O$6:$O$31)</x:f>
        <x:v>2.343836</x:v>
      </x:c>
      <x:c r="L22" s="199" t="n">
        <x:f>SUMIF(Account_Map!$D$6:$D$31,$B22,Account_Map!$P$6:$P$31)</x:f>
        <x:v>2.374315</x:v>
      </x:c>
      <x:c r="M22" s="199" t="n">
        <x:f>SUMIF(Account_Map!$D$6:$D$31,$B22,Account_Map!$Q$6:$Q$31)</x:f>
        <x:v>2.404795</x:v>
      </x:c>
      <x:c r="N22" s="199" t="n">
        <x:f>SUMIF(Account_Map!$D$6:$D$31,$B22,Account_Map!$R$6:$R$31)</x:f>
        <x:v>2.435274</x:v>
      </x:c>
      <x:c r="O22" s="199" t="n">
        <x:f>SUMIF(Account_Map!$D$6:$D$31,$B22,Account_Map!$S$6:$S$31)</x:f>
        <x:v>2.4657534246575343</x:v>
      </x:c>
      <x:c r="P22" s="199" t="n">
        <x:f>SUMIF(Account_Map!$D$6:$D$31,$B22,Account_Map!$T$6:$T$31)</x:f>
        <x:v>2.4657534246575343</x:v>
      </x:c>
      <x:c r="Q22" s="200" t="n">
        <x:f>SUMIF(Account_Map!$D$6:$D$31,$B22,Account_Map!$U$6:$U$31)</x:f>
        <x:v>12</x:v>
      </x:c>
    </x:row>
    <x:row r="23">
      <x:c r="A23" s="54" t="str">
        <x:v>BS Snapshot</x:v>
      </x:c>
      <x:c r="B23" s="54" t="str">
        <x:v>Other Current Assets</x:v>
      </x:c>
      <x:c r="C23" s="54" t="str">
        <x:v>Ending Balance</x:v>
      </x:c>
      <x:c r="D23" s="199" t="n">
        <x:f>SUMIF(Account_Map!$D$6:$D$31,$B23,Account_Map!$H$6:$H$31)</x:f>
        <x:v>0.49</x:v>
      </x:c>
      <x:c r="E23" s="199" t="n">
        <x:f>SUMIF(Account_Map!$D$6:$D$31,$B23,Account_Map!$I$6:$I$31)</x:f>
        <x:v>0.5</x:v>
      </x:c>
      <x:c r="F23" s="199" t="n">
        <x:f>SUMIF(Account_Map!$D$6:$D$31,$B23,Account_Map!$J$6:$J$31)</x:f>
        <x:v>0.51</x:v>
      </x:c>
      <x:c r="G23" s="199" t="n">
        <x:f>SUMIF(Account_Map!$D$6:$D$31,$B23,Account_Map!$K$6:$K$31)</x:f>
        <x:v>0.52</x:v>
      </x:c>
      <x:c r="H23" s="199" t="n">
        <x:f>SUMIF(Account_Map!$D$6:$D$31,$B23,Account_Map!$L$6:$L$31)</x:f>
        <x:v>0.53</x:v>
      </x:c>
      <x:c r="I23" s="199" t="n">
        <x:f>SUMIF(Account_Map!$D$6:$D$31,$B23,Account_Map!$M$6:$M$31)</x:f>
        <x:v>0.54</x:v>
      </x:c>
      <x:c r="J23" s="199" t="n">
        <x:f>SUMIF(Account_Map!$D$6:$D$31,$B23,Account_Map!$N$6:$N$31)</x:f>
        <x:v>0.55</x:v>
      </x:c>
      <x:c r="K23" s="199" t="n">
        <x:f>SUMIF(Account_Map!$D$6:$D$31,$B23,Account_Map!$O$6:$O$31)</x:f>
        <x:v>0.56</x:v>
      </x:c>
      <x:c r="L23" s="199" t="n">
        <x:f>SUMIF(Account_Map!$D$6:$D$31,$B23,Account_Map!$P$6:$P$31)</x:f>
        <x:v>0.57</x:v>
      </x:c>
      <x:c r="M23" s="199" t="n">
        <x:f>SUMIF(Account_Map!$D$6:$D$31,$B23,Account_Map!$Q$6:$Q$31)</x:f>
        <x:v>0.58</x:v>
      </x:c>
      <x:c r="N23" s="199" t="n">
        <x:f>SUMIF(Account_Map!$D$6:$D$31,$B23,Account_Map!$R$6:$R$31)</x:f>
        <x:v>0.59</x:v>
      </x:c>
      <x:c r="O23" s="199" t="n">
        <x:f>SUMIF(Account_Map!$D$6:$D$31,$B23,Account_Map!$S$6:$S$31)</x:f>
        <x:v>0.6</x:v>
      </x:c>
      <x:c r="P23" s="199" t="n">
        <x:f>SUMIF(Account_Map!$D$6:$D$31,$B23,Account_Map!$T$6:$T$31)</x:f>
        <x:v>0.6</x:v>
      </x:c>
      <x:c r="Q23" s="200" t="n">
        <x:f>SUMIF(Account_Map!$D$6:$D$31,$B23,Account_Map!$U$6:$U$31)</x:f>
        <x:v>12</x:v>
      </x:c>
    </x:row>
    <x:row r="24">
      <x:c r="A24" s="54" t="str">
        <x:v>BS Snapshot</x:v>
      </x:c>
      <x:c r="B24" s="54" t="str">
        <x:v>PP&amp;E, Net</x:v>
      </x:c>
      <x:c r="C24" s="54" t="str">
        <x:v>Ending Balance</x:v>
      </x:c>
      <x:c r="D24" s="199" t="n">
        <x:f>SUMIF(Account_Map!$D$6:$D$31,$B24,Account_Map!$H$6:$H$31)</x:f>
        <x:v>1.770833</x:v>
      </x:c>
      <x:c r="E24" s="199" t="n">
        <x:f>SUMIF(Account_Map!$D$6:$D$31,$B24,Account_Map!$I$6:$I$31)</x:f>
        <x:v>1.791667</x:v>
      </x:c>
      <x:c r="F24" s="199" t="n">
        <x:f>SUMIF(Account_Map!$D$6:$D$31,$B24,Account_Map!$J$6:$J$31)</x:f>
        <x:v>1.8125</x:v>
      </x:c>
      <x:c r="G24" s="199" t="n">
        <x:f>SUMIF(Account_Map!$D$6:$D$31,$B24,Account_Map!$K$6:$K$31)</x:f>
        <x:v>1.833333</x:v>
      </x:c>
      <x:c r="H24" s="199" t="n">
        <x:f>SUMIF(Account_Map!$D$6:$D$31,$B24,Account_Map!$L$6:$L$31)</x:f>
        <x:v>1.854167</x:v>
      </x:c>
      <x:c r="I24" s="199" t="n">
        <x:f>SUMIF(Account_Map!$D$6:$D$31,$B24,Account_Map!$M$6:$M$31)</x:f>
        <x:v>1.875</x:v>
      </x:c>
      <x:c r="J24" s="199" t="n">
        <x:f>SUMIF(Account_Map!$D$6:$D$31,$B24,Account_Map!$N$6:$N$31)</x:f>
        <x:v>1.895833</x:v>
      </x:c>
      <x:c r="K24" s="199" t="n">
        <x:f>SUMIF(Account_Map!$D$6:$D$31,$B24,Account_Map!$O$6:$O$31)</x:f>
        <x:v>1.916667</x:v>
      </x:c>
      <x:c r="L24" s="199" t="n">
        <x:f>SUMIF(Account_Map!$D$6:$D$31,$B24,Account_Map!$P$6:$P$31)</x:f>
        <x:v>1.9375</x:v>
      </x:c>
      <x:c r="M24" s="199" t="n">
        <x:f>SUMIF(Account_Map!$D$6:$D$31,$B24,Account_Map!$Q$6:$Q$31)</x:f>
        <x:v>1.958333</x:v>
      </x:c>
      <x:c r="N24" s="199" t="n">
        <x:f>SUMIF(Account_Map!$D$6:$D$31,$B24,Account_Map!$R$6:$R$31)</x:f>
        <x:v>1.979167</x:v>
      </x:c>
      <x:c r="O24" s="199" t="n">
        <x:f>SUMIF(Account_Map!$D$6:$D$31,$B24,Account_Map!$S$6:$S$31)</x:f>
        <x:v>2</x:v>
      </x:c>
      <x:c r="P24" s="199" t="n">
        <x:f>SUMIF(Account_Map!$D$6:$D$31,$B24,Account_Map!$T$6:$T$31)</x:f>
        <x:v>2</x:v>
      </x:c>
      <x:c r="Q24" s="200" t="n">
        <x:f>SUMIF(Account_Map!$D$6:$D$31,$B24,Account_Map!$U$6:$U$31)</x:f>
        <x:v>12</x:v>
      </x:c>
    </x:row>
    <x:row r="25">
      <x:c r="A25" s="54" t="str">
        <x:v>BS Snapshot</x:v>
      </x:c>
      <x:c r="B25" s="54" t="str">
        <x:v>Accounts Payable</x:v>
      </x:c>
      <x:c r="C25" s="54" t="str">
        <x:v>Ending Balance</x:v>
      </x:c>
      <x:c r="D25" s="199" t="n">
        <x:f>SUMIF(Account_Map!$D$6:$D$31,$B25,Account_Map!$H$6:$H$31)</x:f>
        <x:v>0.345913</x:v>
      </x:c>
      <x:c r="E25" s="199" t="n">
        <x:f>SUMIF(Account_Map!$D$6:$D$31,$B25,Account_Map!$I$6:$I$31)</x:f>
        <x:v>0.351826</x:v>
      </x:c>
      <x:c r="F25" s="199" t="n">
        <x:f>SUMIF(Account_Map!$D$6:$D$31,$B25,Account_Map!$J$6:$J$31)</x:f>
        <x:v>0.35774</x:v>
      </x:c>
      <x:c r="G25" s="199" t="n">
        <x:f>SUMIF(Account_Map!$D$6:$D$31,$B25,Account_Map!$K$6:$K$31)</x:f>
        <x:v>0.363653</x:v>
      </x:c>
      <x:c r="H25" s="199" t="n">
        <x:f>SUMIF(Account_Map!$D$6:$D$31,$B25,Account_Map!$L$6:$L$31)</x:f>
        <x:v>0.369566</x:v>
      </x:c>
      <x:c r="I25" s="199" t="n">
        <x:f>SUMIF(Account_Map!$D$6:$D$31,$B25,Account_Map!$M$6:$M$31)</x:f>
        <x:v>0.375479</x:v>
      </x:c>
      <x:c r="J25" s="199" t="n">
        <x:f>SUMIF(Account_Map!$D$6:$D$31,$B25,Account_Map!$N$6:$N$31)</x:f>
        <x:v>0.381393</x:v>
      </x:c>
      <x:c r="K25" s="199" t="n">
        <x:f>SUMIF(Account_Map!$D$6:$D$31,$B25,Account_Map!$O$6:$O$31)</x:f>
        <x:v>0.387306</x:v>
      </x:c>
      <x:c r="L25" s="199" t="n">
        <x:f>SUMIF(Account_Map!$D$6:$D$31,$B25,Account_Map!$P$6:$P$31)</x:f>
        <x:v>0.393219</x:v>
      </x:c>
      <x:c r="M25" s="199" t="n">
        <x:f>SUMIF(Account_Map!$D$6:$D$31,$B25,Account_Map!$Q$6:$Q$31)</x:f>
        <x:v>0.399132</x:v>
      </x:c>
      <x:c r="N25" s="199" t="n">
        <x:f>SUMIF(Account_Map!$D$6:$D$31,$B25,Account_Map!$R$6:$R$31)</x:f>
        <x:v>0.405046</x:v>
      </x:c>
      <x:c r="O25" s="199" t="n">
        <x:f>SUMIF(Account_Map!$D$6:$D$31,$B25,Account_Map!$S$6:$S$31)</x:f>
        <x:v>0.410958904109589</x:v>
      </x:c>
      <x:c r="P25" s="199" t="n">
        <x:f>SUMIF(Account_Map!$D$6:$D$31,$B25,Account_Map!$T$6:$T$31)</x:f>
        <x:v>0.410958904109589</x:v>
      </x:c>
      <x:c r="Q25" s="200" t="n">
        <x:f>SUMIF(Account_Map!$D$6:$D$31,$B25,Account_Map!$U$6:$U$31)</x:f>
        <x:v>12</x:v>
      </x:c>
    </x:row>
    <x:row r="26">
      <x:c r="A26" s="54" t="str">
        <x:v>BS Snapshot</x:v>
      </x:c>
      <x:c r="B26" s="54" t="str">
        <x:v>Accrued Expenses</x:v>
      </x:c>
      <x:c r="C26" s="54" t="str">
        <x:v>Ending Balance</x:v>
      </x:c>
      <x:c r="D26" s="199" t="n">
        <x:f>SUMIF(Account_Map!$D$6:$D$31,$B26,Account_Map!$H$6:$H$31)</x:f>
        <x:v>0.8815</x:v>
      </x:c>
      <x:c r="E26" s="199" t="n">
        <x:f>SUMIF(Account_Map!$D$6:$D$31,$B26,Account_Map!$I$6:$I$31)</x:f>
        <x:v>0.893</x:v>
      </x:c>
      <x:c r="F26" s="199" t="n">
        <x:f>SUMIF(Account_Map!$D$6:$D$31,$B26,Account_Map!$J$6:$J$31)</x:f>
        <x:v>0.9045</x:v>
      </x:c>
      <x:c r="G26" s="199" t="n">
        <x:f>SUMIF(Account_Map!$D$6:$D$31,$B26,Account_Map!$K$6:$K$31)</x:f>
        <x:v>0.916</x:v>
      </x:c>
      <x:c r="H26" s="199" t="n">
        <x:f>SUMIF(Account_Map!$D$6:$D$31,$B26,Account_Map!$L$6:$L$31)</x:f>
        <x:v>0.9275</x:v>
      </x:c>
      <x:c r="I26" s="199" t="n">
        <x:f>SUMIF(Account_Map!$D$6:$D$31,$B26,Account_Map!$M$6:$M$31)</x:f>
        <x:v>0.939</x:v>
      </x:c>
      <x:c r="J26" s="199" t="n">
        <x:f>SUMIF(Account_Map!$D$6:$D$31,$B26,Account_Map!$N$6:$N$31)</x:f>
        <x:v>0.9505</x:v>
      </x:c>
      <x:c r="K26" s="199" t="n">
        <x:f>SUMIF(Account_Map!$D$6:$D$31,$B26,Account_Map!$O$6:$O$31)</x:f>
        <x:v>0.962</x:v>
      </x:c>
      <x:c r="L26" s="199" t="n">
        <x:f>SUMIF(Account_Map!$D$6:$D$31,$B26,Account_Map!$P$6:$P$31)</x:f>
        <x:v>0.9735</x:v>
      </x:c>
      <x:c r="M26" s="199" t="n">
        <x:f>SUMIF(Account_Map!$D$6:$D$31,$B26,Account_Map!$Q$6:$Q$31)</x:f>
        <x:v>0.985</x:v>
      </x:c>
      <x:c r="N26" s="199" t="n">
        <x:f>SUMIF(Account_Map!$D$6:$D$31,$B26,Account_Map!$R$6:$R$31)</x:f>
        <x:v>0.9965</x:v>
      </x:c>
      <x:c r="O26" s="199" t="n">
        <x:f>SUMIF(Account_Map!$D$6:$D$31,$B26,Account_Map!$S$6:$S$31)</x:f>
        <x:v>1.008</x:v>
      </x:c>
      <x:c r="P26" s="199" t="n">
        <x:f>SUMIF(Account_Map!$D$6:$D$31,$B26,Account_Map!$T$6:$T$31)</x:f>
        <x:v>1.008</x:v>
      </x:c>
      <x:c r="Q26" s="200" t="n">
        <x:f>SUMIF(Account_Map!$D$6:$D$31,$B26,Account_Map!$U$6:$U$31)</x:f>
        <x:v>12</x:v>
      </x:c>
    </x:row>
    <x:row r="27">
      <x:c r="A27" s="54" t="str">
        <x:v>BS Snapshot</x:v>
      </x:c>
      <x:c r="B27" s="54" t="str">
        <x:v>Deferred Revenue</x:v>
      </x:c>
      <x:c r="C27" s="54" t="str">
        <x:v>Ending Balance</x:v>
      </x:c>
      <x:c r="D27" s="199" t="n">
        <x:f>SUMIF(Account_Map!$D$6:$D$31,$B27,Account_Map!$H$6:$H$31)</x:f>
        <x:v>1.725</x:v>
      </x:c>
      <x:c r="E27" s="199" t="n">
        <x:f>SUMIF(Account_Map!$D$6:$D$31,$B27,Account_Map!$I$6:$I$31)</x:f>
        <x:v>1.75</x:v>
      </x:c>
      <x:c r="F27" s="199" t="n">
        <x:f>SUMIF(Account_Map!$D$6:$D$31,$B27,Account_Map!$J$6:$J$31)</x:f>
        <x:v>1.775</x:v>
      </x:c>
      <x:c r="G27" s="199" t="n">
        <x:f>SUMIF(Account_Map!$D$6:$D$31,$B27,Account_Map!$K$6:$K$31)</x:f>
        <x:v>1.8</x:v>
      </x:c>
      <x:c r="H27" s="199" t="n">
        <x:f>SUMIF(Account_Map!$D$6:$D$31,$B27,Account_Map!$L$6:$L$31)</x:f>
        <x:v>1.825</x:v>
      </x:c>
      <x:c r="I27" s="199" t="n">
        <x:f>SUMIF(Account_Map!$D$6:$D$31,$B27,Account_Map!$M$6:$M$31)</x:f>
        <x:v>1.85</x:v>
      </x:c>
      <x:c r="J27" s="199" t="n">
        <x:f>SUMIF(Account_Map!$D$6:$D$31,$B27,Account_Map!$N$6:$N$31)</x:f>
        <x:v>1.875</x:v>
      </x:c>
      <x:c r="K27" s="199" t="n">
        <x:f>SUMIF(Account_Map!$D$6:$D$31,$B27,Account_Map!$O$6:$O$31)</x:f>
        <x:v>1.9</x:v>
      </x:c>
      <x:c r="L27" s="199" t="n">
        <x:f>SUMIF(Account_Map!$D$6:$D$31,$B27,Account_Map!$P$6:$P$31)</x:f>
        <x:v>1.925</x:v>
      </x:c>
      <x:c r="M27" s="199" t="n">
        <x:f>SUMIF(Account_Map!$D$6:$D$31,$B27,Account_Map!$Q$6:$Q$31)</x:f>
        <x:v>1.95</x:v>
      </x:c>
      <x:c r="N27" s="199" t="n">
        <x:f>SUMIF(Account_Map!$D$6:$D$31,$B27,Account_Map!$R$6:$R$31)</x:f>
        <x:v>1.975</x:v>
      </x:c>
      <x:c r="O27" s="199" t="n">
        <x:f>SUMIF(Account_Map!$D$6:$D$31,$B27,Account_Map!$S$6:$S$31)</x:f>
        <x:v>2</x:v>
      </x:c>
      <x:c r="P27" s="199" t="n">
        <x:f>SUMIF(Account_Map!$D$6:$D$31,$B27,Account_Map!$T$6:$T$31)</x:f>
        <x:v>2</x:v>
      </x:c>
      <x:c r="Q27" s="200" t="n">
        <x:f>SUMIF(Account_Map!$D$6:$D$31,$B27,Account_Map!$U$6:$U$31)</x:f>
        <x:v>12</x:v>
      </x:c>
    </x:row>
    <x:row r="28">
      <x:c r="A28" s="54" t="str">
        <x:v>BS Snapshot</x:v>
      </x:c>
      <x:c r="B28" s="54" t="str">
        <x:v>Debt</x:v>
      </x:c>
      <x:c r="C28" s="54" t="str">
        <x:v>Ending Balance</x:v>
      </x:c>
      <x:c r="D28" s="199" t="n">
        <x:f>SUMIF(Account_Map!$D$6:$D$31,$B28,Account_Map!$H$6:$H$31)</x:f>
        <x:v>2.866667</x:v>
      </x:c>
      <x:c r="E28" s="199" t="n">
        <x:f>SUMIF(Account_Map!$D$6:$D$31,$B28,Account_Map!$I$6:$I$31)</x:f>
        <x:v>2.833333</x:v>
      </x:c>
      <x:c r="F28" s="199" t="n">
        <x:f>SUMIF(Account_Map!$D$6:$D$31,$B28,Account_Map!$J$6:$J$31)</x:f>
        <x:v>2.8</x:v>
      </x:c>
      <x:c r="G28" s="199" t="n">
        <x:f>SUMIF(Account_Map!$D$6:$D$31,$B28,Account_Map!$K$6:$K$31)</x:f>
        <x:v>2.766667</x:v>
      </x:c>
      <x:c r="H28" s="199" t="n">
        <x:f>SUMIF(Account_Map!$D$6:$D$31,$B28,Account_Map!$L$6:$L$31)</x:f>
        <x:v>2.733333</x:v>
      </x:c>
      <x:c r="I28" s="199" t="n">
        <x:f>SUMIF(Account_Map!$D$6:$D$31,$B28,Account_Map!$M$6:$M$31)</x:f>
        <x:v>2.7</x:v>
      </x:c>
      <x:c r="J28" s="199" t="n">
        <x:f>SUMIF(Account_Map!$D$6:$D$31,$B28,Account_Map!$N$6:$N$31)</x:f>
        <x:v>2.666667</x:v>
      </x:c>
      <x:c r="K28" s="199" t="n">
        <x:f>SUMIF(Account_Map!$D$6:$D$31,$B28,Account_Map!$O$6:$O$31)</x:f>
        <x:v>2.633333</x:v>
      </x:c>
      <x:c r="L28" s="199" t="n">
        <x:f>SUMIF(Account_Map!$D$6:$D$31,$B28,Account_Map!$P$6:$P$31)</x:f>
        <x:v>2.6</x:v>
      </x:c>
      <x:c r="M28" s="199" t="n">
        <x:f>SUMIF(Account_Map!$D$6:$D$31,$B28,Account_Map!$Q$6:$Q$31)</x:f>
        <x:v>2.566667</x:v>
      </x:c>
      <x:c r="N28" s="199" t="n">
        <x:f>SUMIF(Account_Map!$D$6:$D$31,$B28,Account_Map!$R$6:$R$31)</x:f>
        <x:v>2.533333</x:v>
      </x:c>
      <x:c r="O28" s="199" t="n">
        <x:f>SUMIF(Account_Map!$D$6:$D$31,$B28,Account_Map!$S$6:$S$31)</x:f>
        <x:v>2.5</x:v>
      </x:c>
      <x:c r="P28" s="199" t="n">
        <x:f>SUMIF(Account_Map!$D$6:$D$31,$B28,Account_Map!$T$6:$T$31)</x:f>
        <x:v>2.5</x:v>
      </x:c>
      <x:c r="Q28" s="200" t="n">
        <x:f>SUMIF(Account_Map!$D$6:$D$31,$B28,Account_Map!$U$6:$U$31)</x:f>
        <x:v>12</x:v>
      </x:c>
    </x:row>
    <x:row r="29">
      <x:c r="A29" s="54" t="str">
        <x:v>BS Snapshot</x:v>
      </x:c>
      <x:c r="B29" s="54" t="str">
        <x:v>Equity</x:v>
      </x:c>
      <x:c r="C29" s="54" t="str">
        <x:v>Ending Balance</x:v>
      </x:c>
      <x:c r="D29" s="199" t="n">
        <x:f>SUMIF(Account_Map!$D$6:$D$31,$B29,Account_Map!$H$6:$H$31)</x:f>
        <x:v>2.095566</x:v>
      </x:c>
      <x:c r="E29" s="199" t="n">
        <x:f>SUMIF(Account_Map!$D$6:$D$31,$B29,Account_Map!$I$6:$I$31)</x:f>
        <x:v>2.191132</x:v>
      </x:c>
      <x:c r="F29" s="199" t="n">
        <x:f>SUMIF(Account_Map!$D$6:$D$31,$B29,Account_Map!$J$6:$J$31)</x:f>
        <x:v>2.286699</x:v>
      </x:c>
      <x:c r="G29" s="199" t="n">
        <x:f>SUMIF(Account_Map!$D$6:$D$31,$B29,Account_Map!$K$6:$K$31)</x:f>
        <x:v>2.382265</x:v>
      </x:c>
      <x:c r="H29" s="199" t="n">
        <x:f>SUMIF(Account_Map!$D$6:$D$31,$B29,Account_Map!$L$6:$L$31)</x:f>
        <x:v>2.477831</x:v>
      </x:c>
      <x:c r="I29" s="199" t="n">
        <x:f>SUMIF(Account_Map!$D$6:$D$31,$B29,Account_Map!$M$6:$M$31)</x:f>
        <x:v>2.573397</x:v>
      </x:c>
      <x:c r="J29" s="199" t="n">
        <x:f>SUMIF(Account_Map!$D$6:$D$31,$B29,Account_Map!$N$6:$N$31)</x:f>
        <x:v>2.668963</x:v>
      </x:c>
      <x:c r="K29" s="199" t="n">
        <x:f>SUMIF(Account_Map!$D$6:$D$31,$B29,Account_Map!$O$6:$O$31)</x:f>
        <x:v>2.76453</x:v>
      </x:c>
      <x:c r="L29" s="199" t="n">
        <x:f>SUMIF(Account_Map!$D$6:$D$31,$B29,Account_Map!$P$6:$P$31)</x:f>
        <x:v>2.860096</x:v>
      </x:c>
      <x:c r="M29" s="199" t="n">
        <x:f>SUMIF(Account_Map!$D$6:$D$31,$B29,Account_Map!$Q$6:$Q$31)</x:f>
        <x:v>2.955662</x:v>
      </x:c>
      <x:c r="N29" s="199" t="n">
        <x:f>SUMIF(Account_Map!$D$6:$D$31,$B29,Account_Map!$R$6:$R$31)</x:f>
        <x:v>3.051228</x:v>
      </x:c>
      <x:c r="O29" s="199" t="n">
        <x:f>SUMIF(Account_Map!$D$6:$D$31,$B29,Account_Map!$S$6:$S$31)</x:f>
        <x:v>3.146794520547944</x:v>
      </x:c>
      <x:c r="P29" s="199" t="n">
        <x:f>SUMIF(Account_Map!$D$6:$D$31,$B29,Account_Map!$T$6:$T$31)</x:f>
        <x:v>3.146794520547944</x:v>
      </x:c>
      <x:c r="Q29" s="200" t="n">
        <x:f>SUMIF(Account_Map!$D$6:$D$31,$B29,Account_Map!$U$6:$U$31)</x:f>
        <x:v>12</x:v>
      </x:c>
    </x:row>
    <x:row r="30">
      <x:c r="A30" s="54" t="str">
        <x:v>CF Activity</x:v>
      </x:c>
      <x:c r="B30" s="54" t="str">
        <x:v>Change in A/R</x:v>
      </x:c>
      <x:c r="C30" s="54" t="str">
        <x:v>Sum</x:v>
      </x:c>
      <x:c r="D30" s="199" t="n">
        <x:f>SUMIF(Account_Map!$D$6:$D$31,$B30,Account_Map!$H$6:$H$31)</x:f>
        <x:v>0</x:v>
      </x:c>
      <x:c r="E30" s="199" t="n">
        <x:f>SUMIF(Account_Map!$D$6:$D$31,$B30,Account_Map!$I$6:$I$31)</x:f>
        <x:v>0</x:v>
      </x:c>
      <x:c r="F30" s="199" t="n">
        <x:f>SUMIF(Account_Map!$D$6:$D$31,$B30,Account_Map!$J$6:$J$31)</x:f>
        <x:v>0</x:v>
      </x:c>
      <x:c r="G30" s="199" t="n">
        <x:f>SUMIF(Account_Map!$D$6:$D$31,$B30,Account_Map!$K$6:$K$31)</x:f>
        <x:v>0</x:v>
      </x:c>
      <x:c r="H30" s="199" t="n">
        <x:f>SUMIF(Account_Map!$D$6:$D$31,$B30,Account_Map!$L$6:$L$31)</x:f>
        <x:v>0</x:v>
      </x:c>
      <x:c r="I30" s="199" t="n">
        <x:f>SUMIF(Account_Map!$D$6:$D$31,$B30,Account_Map!$M$6:$M$31)</x:f>
        <x:v>0</x:v>
      </x:c>
      <x:c r="J30" s="199" t="n">
        <x:f>SUMIF(Account_Map!$D$6:$D$31,$B30,Account_Map!$N$6:$N$31)</x:f>
        <x:v>0</x:v>
      </x:c>
      <x:c r="K30" s="199" t="n">
        <x:f>SUMIF(Account_Map!$D$6:$D$31,$B30,Account_Map!$O$6:$O$31)</x:f>
        <x:v>0</x:v>
      </x:c>
      <x:c r="L30" s="199" t="n">
        <x:f>SUMIF(Account_Map!$D$6:$D$31,$B30,Account_Map!$P$6:$P$31)</x:f>
        <x:v>0</x:v>
      </x:c>
      <x:c r="M30" s="199" t="n">
        <x:f>SUMIF(Account_Map!$D$6:$D$31,$B30,Account_Map!$Q$6:$Q$31)</x:f>
        <x:v>0</x:v>
      </x:c>
      <x:c r="N30" s="199" t="n">
        <x:f>SUMIF(Account_Map!$D$6:$D$31,$B30,Account_Map!$R$6:$R$31)</x:f>
        <x:v>0</x:v>
      </x:c>
      <x:c r="O30" s="199" t="n">
        <x:f>SUMIF(Account_Map!$D$6:$D$31,$B30,Account_Map!$S$6:$S$31)</x:f>
        <x:v>-0.3</x:v>
      </x:c>
      <x:c r="P30" s="199" t="n">
        <x:f>SUMIF(Account_Map!$D$6:$D$31,$B30,Account_Map!$T$6:$T$31)</x:f>
        <x:v>-0.3</x:v>
      </x:c>
      <x:c r="Q30" s="200" t="n">
        <x:f>SUMIF(Account_Map!$D$6:$D$31,$B30,Account_Map!$U$6:$U$31)</x:f>
        <x:v>1</x:v>
      </x:c>
    </x:row>
    <x:row r="31">
      <x:c r="A31" s="54" t="str">
        <x:v>CF Activity</x:v>
      </x:c>
      <x:c r="B31" s="54" t="str">
        <x:v>Change in Other Current Assets</x:v>
      </x:c>
      <x:c r="C31" s="54" t="str">
        <x:v>Sum</x:v>
      </x:c>
      <x:c r="D31" s="199" t="n">
        <x:f>SUMIF(Account_Map!$D$6:$D$31,$B31,Account_Map!$H$6:$H$31)</x:f>
        <x:v>0</x:v>
      </x:c>
      <x:c r="E31" s="199" t="n">
        <x:f>SUMIF(Account_Map!$D$6:$D$31,$B31,Account_Map!$I$6:$I$31)</x:f>
        <x:v>0</x:v>
      </x:c>
      <x:c r="F31" s="199" t="n">
        <x:f>SUMIF(Account_Map!$D$6:$D$31,$B31,Account_Map!$J$6:$J$31)</x:f>
        <x:v>0</x:v>
      </x:c>
      <x:c r="G31" s="199" t="n">
        <x:f>SUMIF(Account_Map!$D$6:$D$31,$B31,Account_Map!$K$6:$K$31)</x:f>
        <x:v>0</x:v>
      </x:c>
      <x:c r="H31" s="199" t="n">
        <x:f>SUMIF(Account_Map!$D$6:$D$31,$B31,Account_Map!$L$6:$L$31)</x:f>
        <x:v>0</x:v>
      </x:c>
      <x:c r="I31" s="199" t="n">
        <x:f>SUMIF(Account_Map!$D$6:$D$31,$B31,Account_Map!$M$6:$M$31)</x:f>
        <x:v>0</x:v>
      </x:c>
      <x:c r="J31" s="199" t="n">
        <x:f>SUMIF(Account_Map!$D$6:$D$31,$B31,Account_Map!$N$6:$N$31)</x:f>
        <x:v>0</x:v>
      </x:c>
      <x:c r="K31" s="199" t="n">
        <x:f>SUMIF(Account_Map!$D$6:$D$31,$B31,Account_Map!$O$6:$O$31)</x:f>
        <x:v>0</x:v>
      </x:c>
      <x:c r="L31" s="199" t="n">
        <x:f>SUMIF(Account_Map!$D$6:$D$31,$B31,Account_Map!$P$6:$P$31)</x:f>
        <x:v>0</x:v>
      </x:c>
      <x:c r="M31" s="199" t="n">
        <x:f>SUMIF(Account_Map!$D$6:$D$31,$B31,Account_Map!$Q$6:$Q$31)</x:f>
        <x:v>0</x:v>
      </x:c>
      <x:c r="N31" s="199" t="n">
        <x:f>SUMIF(Account_Map!$D$6:$D$31,$B31,Account_Map!$R$6:$R$31)</x:f>
        <x:v>0</x:v>
      </x:c>
      <x:c r="O31" s="199" t="n">
        <x:f>SUMIF(Account_Map!$D$6:$D$31,$B31,Account_Map!$S$6:$S$31)</x:f>
        <x:v>-0.1</x:v>
      </x:c>
      <x:c r="P31" s="199" t="n">
        <x:f>SUMIF(Account_Map!$D$6:$D$31,$B31,Account_Map!$T$6:$T$31)</x:f>
        <x:v>-0.1</x:v>
      </x:c>
      <x:c r="Q31" s="200" t="n">
        <x:f>SUMIF(Account_Map!$D$6:$D$31,$B31,Account_Map!$U$6:$U$31)</x:f>
        <x:v>1</x:v>
      </x:c>
    </x:row>
    <x:row r="32">
      <x:c r="A32" s="54" t="str">
        <x:v>CF Activity</x:v>
      </x:c>
      <x:c r="B32" s="54" t="str">
        <x:v>Change in A/P</x:v>
      </x:c>
      <x:c r="C32" s="54" t="str">
        <x:v>Sum</x:v>
      </x:c>
      <x:c r="D32" s="199" t="n">
        <x:f>SUMIF(Account_Map!$D$6:$D$31,$B32,Account_Map!$H$6:$H$31)</x:f>
        <x:v>0</x:v>
      </x:c>
      <x:c r="E32" s="199" t="n">
        <x:f>SUMIF(Account_Map!$D$6:$D$31,$B32,Account_Map!$I$6:$I$31)</x:f>
        <x:v>0</x:v>
      </x:c>
      <x:c r="F32" s="199" t="n">
        <x:f>SUMIF(Account_Map!$D$6:$D$31,$B32,Account_Map!$J$6:$J$31)</x:f>
        <x:v>0</x:v>
      </x:c>
      <x:c r="G32" s="199" t="n">
        <x:f>SUMIF(Account_Map!$D$6:$D$31,$B32,Account_Map!$K$6:$K$31)</x:f>
        <x:v>0</x:v>
      </x:c>
      <x:c r="H32" s="199" t="n">
        <x:f>SUMIF(Account_Map!$D$6:$D$31,$B32,Account_Map!$L$6:$L$31)</x:f>
        <x:v>0</x:v>
      </x:c>
      <x:c r="I32" s="199" t="n">
        <x:f>SUMIF(Account_Map!$D$6:$D$31,$B32,Account_Map!$M$6:$M$31)</x:f>
        <x:v>0</x:v>
      </x:c>
      <x:c r="J32" s="199" t="n">
        <x:f>SUMIF(Account_Map!$D$6:$D$31,$B32,Account_Map!$N$6:$N$31)</x:f>
        <x:v>0</x:v>
      </x:c>
      <x:c r="K32" s="199" t="n">
        <x:f>SUMIF(Account_Map!$D$6:$D$31,$B32,Account_Map!$O$6:$O$31)</x:f>
        <x:v>0</x:v>
      </x:c>
      <x:c r="L32" s="199" t="n">
        <x:f>SUMIF(Account_Map!$D$6:$D$31,$B32,Account_Map!$P$6:$P$31)</x:f>
        <x:v>0</x:v>
      </x:c>
      <x:c r="M32" s="199" t="n">
        <x:f>SUMIF(Account_Map!$D$6:$D$31,$B32,Account_Map!$Q$6:$Q$31)</x:f>
        <x:v>0</x:v>
      </x:c>
      <x:c r="N32" s="199" t="n">
        <x:f>SUMIF(Account_Map!$D$6:$D$31,$B32,Account_Map!$R$6:$R$31)</x:f>
        <x:v>0</x:v>
      </x:c>
      <x:c r="O32" s="199" t="n">
        <x:f>SUMIF(Account_Map!$D$6:$D$31,$B32,Account_Map!$S$6:$S$31)</x:f>
        <x:v>0.05</x:v>
      </x:c>
      <x:c r="P32" s="199" t="n">
        <x:f>SUMIF(Account_Map!$D$6:$D$31,$B32,Account_Map!$T$6:$T$31)</x:f>
        <x:v>0.05</x:v>
      </x:c>
      <x:c r="Q32" s="200" t="n">
        <x:f>SUMIF(Account_Map!$D$6:$D$31,$B32,Account_Map!$U$6:$U$31)</x:f>
        <x:v>1</x:v>
      </x:c>
    </x:row>
    <x:row r="33">
      <x:c r="A33" s="54" t="str">
        <x:v>CF Activity</x:v>
      </x:c>
      <x:c r="B33" s="54" t="str">
        <x:v>Change in Accrued Expenses</x:v>
      </x:c>
      <x:c r="C33" s="54" t="str">
        <x:v>Sum</x:v>
      </x:c>
      <x:c r="D33" s="199" t="n">
        <x:f>SUMIF(Account_Map!$D$6:$D$31,$B33,Account_Map!$H$6:$H$31)</x:f>
        <x:v>0</x:v>
      </x:c>
      <x:c r="E33" s="199" t="n">
        <x:f>SUMIF(Account_Map!$D$6:$D$31,$B33,Account_Map!$I$6:$I$31)</x:f>
        <x:v>0</x:v>
      </x:c>
      <x:c r="F33" s="199" t="n">
        <x:f>SUMIF(Account_Map!$D$6:$D$31,$B33,Account_Map!$J$6:$J$31)</x:f>
        <x:v>0</x:v>
      </x:c>
      <x:c r="G33" s="199" t="n">
        <x:f>SUMIF(Account_Map!$D$6:$D$31,$B33,Account_Map!$K$6:$K$31)</x:f>
        <x:v>0</x:v>
      </x:c>
      <x:c r="H33" s="199" t="n">
        <x:f>SUMIF(Account_Map!$D$6:$D$31,$B33,Account_Map!$L$6:$L$31)</x:f>
        <x:v>0</x:v>
      </x:c>
      <x:c r="I33" s="199" t="n">
        <x:f>SUMIF(Account_Map!$D$6:$D$31,$B33,Account_Map!$M$6:$M$31)</x:f>
        <x:v>0</x:v>
      </x:c>
      <x:c r="J33" s="199" t="n">
        <x:f>SUMIF(Account_Map!$D$6:$D$31,$B33,Account_Map!$N$6:$N$31)</x:f>
        <x:v>0</x:v>
      </x:c>
      <x:c r="K33" s="199" t="n">
        <x:f>SUMIF(Account_Map!$D$6:$D$31,$B33,Account_Map!$O$6:$O$31)</x:f>
        <x:v>0</x:v>
      </x:c>
      <x:c r="L33" s="199" t="n">
        <x:f>SUMIF(Account_Map!$D$6:$D$31,$B33,Account_Map!$P$6:$P$31)</x:f>
        <x:v>0</x:v>
      </x:c>
      <x:c r="M33" s="199" t="n">
        <x:f>SUMIF(Account_Map!$D$6:$D$31,$B33,Account_Map!$Q$6:$Q$31)</x:f>
        <x:v>0</x:v>
      </x:c>
      <x:c r="N33" s="199" t="n">
        <x:f>SUMIF(Account_Map!$D$6:$D$31,$B33,Account_Map!$R$6:$R$31)</x:f>
        <x:v>0</x:v>
      </x:c>
      <x:c r="O33" s="199" t="n">
        <x:f>SUMIF(Account_Map!$D$6:$D$31,$B33,Account_Map!$S$6:$S$31)</x:f>
        <x:v>0.1</x:v>
      </x:c>
      <x:c r="P33" s="199" t="n">
        <x:f>SUMIF(Account_Map!$D$6:$D$31,$B33,Account_Map!$T$6:$T$31)</x:f>
        <x:v>0.1</x:v>
      </x:c>
      <x:c r="Q33" s="200" t="n">
        <x:f>SUMIF(Account_Map!$D$6:$D$31,$B33,Account_Map!$U$6:$U$31)</x:f>
        <x:v>1</x:v>
      </x:c>
    </x:row>
    <x:row r="34">
      <x:c r="A34" s="54" t="str">
        <x:v>CF Activity</x:v>
      </x:c>
      <x:c r="B34" s="54" t="str">
        <x:v>Change in Deferred Revenue</x:v>
      </x:c>
      <x:c r="C34" s="54" t="str">
        <x:v>Sum</x:v>
      </x:c>
      <x:c r="D34" s="199" t="n">
        <x:f>SUMIF(Account_Map!$D$6:$D$31,$B34,Account_Map!$H$6:$H$31)</x:f>
        <x:v>0</x:v>
      </x:c>
      <x:c r="E34" s="199" t="n">
        <x:f>SUMIF(Account_Map!$D$6:$D$31,$B34,Account_Map!$I$6:$I$31)</x:f>
        <x:v>0</x:v>
      </x:c>
      <x:c r="F34" s="199" t="n">
        <x:f>SUMIF(Account_Map!$D$6:$D$31,$B34,Account_Map!$J$6:$J$31)</x:f>
        <x:v>0</x:v>
      </x:c>
      <x:c r="G34" s="199" t="n">
        <x:f>SUMIF(Account_Map!$D$6:$D$31,$B34,Account_Map!$K$6:$K$31)</x:f>
        <x:v>0</x:v>
      </x:c>
      <x:c r="H34" s="199" t="n">
        <x:f>SUMIF(Account_Map!$D$6:$D$31,$B34,Account_Map!$L$6:$L$31)</x:f>
        <x:v>0</x:v>
      </x:c>
      <x:c r="I34" s="199" t="n">
        <x:f>SUMIF(Account_Map!$D$6:$D$31,$B34,Account_Map!$M$6:$M$31)</x:f>
        <x:v>0</x:v>
      </x:c>
      <x:c r="J34" s="199" t="n">
        <x:f>SUMIF(Account_Map!$D$6:$D$31,$B34,Account_Map!$N$6:$N$31)</x:f>
        <x:v>0</x:v>
      </x:c>
      <x:c r="K34" s="199" t="n">
        <x:f>SUMIF(Account_Map!$D$6:$D$31,$B34,Account_Map!$O$6:$O$31)</x:f>
        <x:v>0</x:v>
      </x:c>
      <x:c r="L34" s="199" t="n">
        <x:f>SUMIF(Account_Map!$D$6:$D$31,$B34,Account_Map!$P$6:$P$31)</x:f>
        <x:v>0</x:v>
      </x:c>
      <x:c r="M34" s="199" t="n">
        <x:f>SUMIF(Account_Map!$D$6:$D$31,$B34,Account_Map!$Q$6:$Q$31)</x:f>
        <x:v>0</x:v>
      </x:c>
      <x:c r="N34" s="199" t="n">
        <x:f>SUMIF(Account_Map!$D$6:$D$31,$B34,Account_Map!$R$6:$R$31)</x:f>
        <x:v>0</x:v>
      </x:c>
      <x:c r="O34" s="199" t="n">
        <x:f>SUMIF(Account_Map!$D$6:$D$31,$B34,Account_Map!$S$6:$S$31)</x:f>
        <x:v>0.2</x:v>
      </x:c>
      <x:c r="P34" s="199" t="n">
        <x:f>SUMIF(Account_Map!$D$6:$D$31,$B34,Account_Map!$T$6:$T$31)</x:f>
        <x:v>0.2</x:v>
      </x:c>
      <x:c r="Q34" s="200" t="n">
        <x:f>SUMIF(Account_Map!$D$6:$D$31,$B34,Account_Map!$U$6:$U$31)</x:f>
        <x:v>1</x:v>
      </x:c>
    </x:row>
    <x:row r="35">
      <x:c r="A35" s="54" t="str">
        <x:v>CF Activity</x:v>
      </x:c>
      <x:c r="B35" s="54" t="str">
        <x:v>Capex</x:v>
      </x:c>
      <x:c r="C35" s="54" t="str">
        <x:v>Sum</x:v>
      </x:c>
      <x:c r="D35" s="199" t="n">
        <x:f>SUMIF(Account_Map!$D$6:$D$31,$B35,Account_Map!$H$6:$H$31)</x:f>
        <x:v>0</x:v>
      </x:c>
      <x:c r="E35" s="199" t="n">
        <x:f>SUMIF(Account_Map!$D$6:$D$31,$B35,Account_Map!$I$6:$I$31)</x:f>
        <x:v>0</x:v>
      </x:c>
      <x:c r="F35" s="199" t="n">
        <x:f>SUMIF(Account_Map!$D$6:$D$31,$B35,Account_Map!$J$6:$J$31)</x:f>
        <x:v>0</x:v>
      </x:c>
      <x:c r="G35" s="199" t="n">
        <x:f>SUMIF(Account_Map!$D$6:$D$31,$B35,Account_Map!$K$6:$K$31)</x:f>
        <x:v>0</x:v>
      </x:c>
      <x:c r="H35" s="199" t="n">
        <x:f>SUMIF(Account_Map!$D$6:$D$31,$B35,Account_Map!$L$6:$L$31)</x:f>
        <x:v>0</x:v>
      </x:c>
      <x:c r="I35" s="199" t="n">
        <x:f>SUMIF(Account_Map!$D$6:$D$31,$B35,Account_Map!$M$6:$M$31)</x:f>
        <x:v>0</x:v>
      </x:c>
      <x:c r="J35" s="199" t="n">
        <x:f>SUMIF(Account_Map!$D$6:$D$31,$B35,Account_Map!$N$6:$N$31)</x:f>
        <x:v>0</x:v>
      </x:c>
      <x:c r="K35" s="199" t="n">
        <x:f>SUMIF(Account_Map!$D$6:$D$31,$B35,Account_Map!$O$6:$O$31)</x:f>
        <x:v>0</x:v>
      </x:c>
      <x:c r="L35" s="199" t="n">
        <x:f>SUMIF(Account_Map!$D$6:$D$31,$B35,Account_Map!$P$6:$P$31)</x:f>
        <x:v>0</x:v>
      </x:c>
      <x:c r="M35" s="199" t="n">
        <x:f>SUMIF(Account_Map!$D$6:$D$31,$B35,Account_Map!$Q$6:$Q$31)</x:f>
        <x:v>0</x:v>
      </x:c>
      <x:c r="N35" s="199" t="n">
        <x:f>SUMIF(Account_Map!$D$6:$D$31,$B35,Account_Map!$R$6:$R$31)</x:f>
        <x:v>0</x:v>
      </x:c>
      <x:c r="O35" s="199" t="n">
        <x:f>SUMIF(Account_Map!$D$6:$D$31,$B35,Account_Map!$S$6:$S$31)</x:f>
        <x:v>-0.5</x:v>
      </x:c>
      <x:c r="P35" s="199" t="n">
        <x:f>SUMIF(Account_Map!$D$6:$D$31,$B35,Account_Map!$T$6:$T$31)</x:f>
        <x:v>-0.5</x:v>
      </x:c>
      <x:c r="Q35" s="200" t="n">
        <x:f>SUMIF(Account_Map!$D$6:$D$31,$B35,Account_Map!$U$6:$U$31)</x:f>
        <x:v>1</x:v>
      </x:c>
    </x:row>
    <x:row r="36">
      <x:c r="A36" s="54" t="str">
        <x:v>CF Activity</x:v>
      </x:c>
      <x:c r="B36" s="54" t="str">
        <x:v>Debt Repayment</x:v>
      </x:c>
      <x:c r="C36" s="54" t="str">
        <x:v>Sum</x:v>
      </x:c>
      <x:c r="D36" s="199" t="n">
        <x:f>SUMIF(Account_Map!$D$6:$D$31,$B36,Account_Map!$H$6:$H$31)</x:f>
        <x:v>0</x:v>
      </x:c>
      <x:c r="E36" s="199" t="n">
        <x:f>SUMIF(Account_Map!$D$6:$D$31,$B36,Account_Map!$I$6:$I$31)</x:f>
        <x:v>0</x:v>
      </x:c>
      <x:c r="F36" s="199" t="n">
        <x:f>SUMIF(Account_Map!$D$6:$D$31,$B36,Account_Map!$J$6:$J$31)</x:f>
        <x:v>0</x:v>
      </x:c>
      <x:c r="G36" s="199" t="n">
        <x:f>SUMIF(Account_Map!$D$6:$D$31,$B36,Account_Map!$K$6:$K$31)</x:f>
        <x:v>0</x:v>
      </x:c>
      <x:c r="H36" s="199" t="n">
        <x:f>SUMIF(Account_Map!$D$6:$D$31,$B36,Account_Map!$L$6:$L$31)</x:f>
        <x:v>0</x:v>
      </x:c>
      <x:c r="I36" s="199" t="n">
        <x:f>SUMIF(Account_Map!$D$6:$D$31,$B36,Account_Map!$M$6:$M$31)</x:f>
        <x:v>0</x:v>
      </x:c>
      <x:c r="J36" s="199" t="n">
        <x:f>SUMIF(Account_Map!$D$6:$D$31,$B36,Account_Map!$N$6:$N$31)</x:f>
        <x:v>0</x:v>
      </x:c>
      <x:c r="K36" s="199" t="n">
        <x:f>SUMIF(Account_Map!$D$6:$D$31,$B36,Account_Map!$O$6:$O$31)</x:f>
        <x:v>0</x:v>
      </x:c>
      <x:c r="L36" s="199" t="n">
        <x:f>SUMIF(Account_Map!$D$6:$D$31,$B36,Account_Map!$P$6:$P$31)</x:f>
        <x:v>0</x:v>
      </x:c>
      <x:c r="M36" s="199" t="n">
        <x:f>SUMIF(Account_Map!$D$6:$D$31,$B36,Account_Map!$Q$6:$Q$31)</x:f>
        <x:v>0</x:v>
      </x:c>
      <x:c r="N36" s="199" t="n">
        <x:f>SUMIF(Account_Map!$D$6:$D$31,$B36,Account_Map!$R$6:$R$31)</x:f>
        <x:v>0</x:v>
      </x:c>
      <x:c r="O36" s="199" t="n">
        <x:f>SUMIF(Account_Map!$D$6:$D$31,$B36,Account_Map!$S$6:$S$31)</x:f>
        <x:v>-0.4</x:v>
      </x:c>
      <x:c r="P36" s="199" t="n">
        <x:f>SUMIF(Account_Map!$D$6:$D$31,$B36,Account_Map!$T$6:$T$31)</x:f>
        <x:v>-0.4</x:v>
      </x:c>
      <x:c r="Q36" s="200" t="n">
        <x:f>SUMIF(Account_Map!$D$6:$D$31,$B36,Account_Map!$U$6:$U$31)</x:f>
        <x:v>1</x:v>
      </x:c>
    </x:row>
    <x:row r="37">
      <x:c r="A37" s="54" t="str">
        <x:v>CF Activity</x:v>
      </x:c>
      <x:c r="B37" s="54" t="str">
        <x:v>Dividends</x:v>
      </x:c>
      <x:c r="C37" s="54" t="str">
        <x:v>Sum</x:v>
      </x:c>
      <x:c r="D37" s="199" t="n">
        <x:f>SUMIF(Account_Map!$D$6:$D$31,$B37,Account_Map!$H$6:$H$31)</x:f>
        <x:v>0</x:v>
      </x:c>
      <x:c r="E37" s="199" t="n">
        <x:f>SUMIF(Account_Map!$D$6:$D$31,$B37,Account_Map!$I$6:$I$31)</x:f>
        <x:v>0</x:v>
      </x:c>
      <x:c r="F37" s="199" t="n">
        <x:f>SUMIF(Account_Map!$D$6:$D$31,$B37,Account_Map!$J$6:$J$31)</x:f>
        <x:v>0</x:v>
      </x:c>
      <x:c r="G37" s="199" t="n">
        <x:f>SUMIF(Account_Map!$D$6:$D$31,$B37,Account_Map!$K$6:$K$31)</x:f>
        <x:v>0</x:v>
      </x:c>
      <x:c r="H37" s="199" t="n">
        <x:f>SUMIF(Account_Map!$D$6:$D$31,$B37,Account_Map!$L$6:$L$31)</x:f>
        <x:v>0</x:v>
      </x:c>
      <x:c r="I37" s="199" t="n">
        <x:f>SUMIF(Account_Map!$D$6:$D$31,$B37,Account_Map!$M$6:$M$31)</x:f>
        <x:v>0</x:v>
      </x:c>
      <x:c r="J37" s="199" t="n">
        <x:f>SUMIF(Account_Map!$D$6:$D$31,$B37,Account_Map!$N$6:$N$31)</x:f>
        <x:v>0</x:v>
      </x:c>
      <x:c r="K37" s="199" t="n">
        <x:f>SUMIF(Account_Map!$D$6:$D$31,$B37,Account_Map!$O$6:$O$31)</x:f>
        <x:v>0</x:v>
      </x:c>
      <x:c r="L37" s="199" t="n">
        <x:f>SUMIF(Account_Map!$D$6:$D$31,$B37,Account_Map!$P$6:$P$31)</x:f>
        <x:v>0</x:v>
      </x:c>
      <x:c r="M37" s="199" t="n">
        <x:f>SUMIF(Account_Map!$D$6:$D$31,$B37,Account_Map!$Q$6:$Q$31)</x:f>
        <x:v>0</x:v>
      </x:c>
      <x:c r="N37" s="199" t="n">
        <x:f>SUMIF(Account_Map!$D$6:$D$31,$B37,Account_Map!$R$6:$R$31)</x:f>
        <x:v>0</x:v>
      </x:c>
      <x:c r="O37" s="199" t="n">
        <x:f>SUMIF(Account_Map!$D$6:$D$31,$B37,Account_Map!$S$6:$S$31)</x:f>
        <x:v>0</x:v>
      </x:c>
      <x:c r="P37" s="199" t="n">
        <x:f>SUMIF(Account_Map!$D$6:$D$31,$B37,Account_Map!$T$6:$T$31)</x:f>
        <x:v>0</x:v>
      </x:c>
      <x:c r="Q37" s="200" t="n">
        <x:f>SUMIF(Account_Map!$D$6:$D$31,$B37,Account_Map!$U$6:$U$31)</x:f>
        <x:v>1</x:v>
      </x:c>
    </x:row>
    <x:row r="38">
      <x:c r="A38" s="54" t="str">
        <x:v>CF Value</x:v>
      </x:c>
      <x:c r="B38" s="54" t="str">
        <x:v>Beginning Cash</x:v>
      </x:c>
      <x:c r="C38" s="54" t="str">
        <x:v>Ending Balance</x:v>
      </x:c>
      <x:c r="D38" s="199" t="n">
        <x:f>SUMIF(Account_Map!$D$6:$D$31,$B38,Account_Map!$H$6:$H$31)</x:f>
        <x:v>0</x:v>
      </x:c>
      <x:c r="E38" s="199" t="n">
        <x:f>SUMIF(Account_Map!$D$6:$D$31,$B38,Account_Map!$I$6:$I$31)</x:f>
        <x:v>0</x:v>
      </x:c>
      <x:c r="F38" s="199" t="n">
        <x:f>SUMIF(Account_Map!$D$6:$D$31,$B38,Account_Map!$J$6:$J$31)</x:f>
        <x:v>0</x:v>
      </x:c>
      <x:c r="G38" s="199" t="n">
        <x:f>SUMIF(Account_Map!$D$6:$D$31,$B38,Account_Map!$K$6:$K$31)</x:f>
        <x:v>0</x:v>
      </x:c>
      <x:c r="H38" s="199" t="n">
        <x:f>SUMIF(Account_Map!$D$6:$D$31,$B38,Account_Map!$L$6:$L$31)</x:f>
        <x:v>0</x:v>
      </x:c>
      <x:c r="I38" s="199" t="n">
        <x:f>SUMIF(Account_Map!$D$6:$D$31,$B38,Account_Map!$M$6:$M$31)</x:f>
        <x:v>0</x:v>
      </x:c>
      <x:c r="J38" s="199" t="n">
        <x:f>SUMIF(Account_Map!$D$6:$D$31,$B38,Account_Map!$N$6:$N$31)</x:f>
        <x:v>0</x:v>
      </x:c>
      <x:c r="K38" s="199" t="n">
        <x:f>SUMIF(Account_Map!$D$6:$D$31,$B38,Account_Map!$O$6:$O$31)</x:f>
        <x:v>0</x:v>
      </x:c>
      <x:c r="L38" s="199" t="n">
        <x:f>SUMIF(Account_Map!$D$6:$D$31,$B38,Account_Map!$P$6:$P$31)</x:f>
        <x:v>0</x:v>
      </x:c>
      <x:c r="M38" s="199" t="n">
        <x:f>SUMIF(Account_Map!$D$6:$D$31,$B38,Account_Map!$Q$6:$Q$31)</x:f>
        <x:v>0</x:v>
      </x:c>
      <x:c r="N38" s="199" t="n">
        <x:f>SUMIF(Account_Map!$D$6:$D$31,$B38,Account_Map!$R$6:$R$31)</x:f>
        <x:v>0</x:v>
      </x:c>
      <x:c r="O38" s="199" t="n">
        <x:f>SUMIF(Account_Map!$D$6:$D$31,$B38,Account_Map!$S$6:$S$31)</x:f>
        <x:v>3.275</x:v>
      </x:c>
      <x:c r="P38" s="199" t="n">
        <x:f>SUMIF(Account_Map!$D$6:$D$31,$B38,Account_Map!$T$6:$T$31)</x:f>
        <x:v>3.275</x:v>
      </x:c>
      <x:c r="Q38" s="200" t="n">
        <x:f>SUMIF(Account_Map!$D$6:$D$31,$B38,Account_Map!$U$6:$U$31)</x:f>
        <x:v>1</x:v>
      </x:c>
    </x:row>
  </x:sheetData>
  <x:mergeCells>
    <x:mergeCell ref="A1:Q1"/>
    <x:mergeCell ref="A2:Q2"/>
    <x:mergeCell ref="A4:D4"/>
    <x:mergeCell ref="A11:Q11"/>
  </x:mergeCells>
  <x:conditionalFormatting sqref="B8:B8">
    <x:cfRule type="expression" dxfId="4" priority="1">
      <x:formula>B8="READY"</x:formula>
    </x:cfRule>
    <x:cfRule type="expression" dxfId="5" priority="2">
      <x:formula>B8="REVIEW MAPPING"</x:formula>
    </x:cfRule>
    <x:cfRule type="expression" dxfId="48" priority="5">
      <x:formula>B8="READY"</x:formula>
    </x:cfRule>
    <x:cfRule type="expression" dxfId="49" priority="6">
      <x:formula>AND(B8&lt;&gt;"",B8&lt;&gt;"READY")</x:formula>
    </x:cfRule>
  </x:conditionalFormatting>
  <x:conditionalFormatting sqref="B7:B7">
    <x:cfRule type="expression" dxfId="46" priority="3">
      <x:formula>B7=0</x:formula>
    </x:cfRule>
    <x:cfRule type="expression" dxfId="47" priority="4">
      <x:formula>B7&gt;=1</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31" hidden="0" customWidth="1"/>
    <x:col min="2" max="2" width="16" hidden="0" customWidth="1"/>
    <x:col min="3" max="3" width="12" hidden="0" customWidth="1"/>
    <x:col min="4" max="4" width="5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4" customHeight="1">
      <x:c r="A1" s="254" t="str">
        <x:v>FY2026 Budget &amp; Rolling Forecast Assumptions</x:v>
      </x:c>
      <x:c r="B1" s="254"/>
      <x:c r="C1" s="254"/>
      <x:c r="D1" s="254"/>
      <x:c r="E1" s="255"/>
      <x:c r="F1" s="255"/>
      <x:c r="G1" s="255"/>
      <x:c r="H1" s="255"/>
      <x:c r="I1" s="255"/>
      <x:c r="J1" s="255"/>
      <x:c r="K1" s="255"/>
      <x:c r="L1" s="255"/>
      <x:c r="M1" s="255"/>
      <x:c r="N1" s="255"/>
    </x:row>
    <x:row r="2" ht="28" customHeight="1">
      <x:c r="A2" s="455" t="str">
        <x:v>Input convention: blue font / yellow fill = editable planning inputs | black = calculations | green = linked worksheet values | thresholds drive variance review flags.</x:v>
      </x:c>
      <x:c r="B2" s="455"/>
      <x:c r="C2" s="455"/>
      <x:c r="D2" s="455"/>
      <x:c r="E2" s="455"/>
      <x:c r="F2" s="455"/>
      <x:c r="G2" s="455"/>
      <x:c r="H2" s="455"/>
      <x:c r="I2" s="455"/>
      <x:c r="J2" s="455"/>
      <x:c r="K2" s="455"/>
      <x:c r="L2" s="455"/>
      <x:c r="M2" s="455"/>
      <x:c r="N2" s="455"/>
    </x:row>
    <x:row r="3">
      <x:c r="A3" s="255"/>
      <x:c r="B3" s="255"/>
      <x:c r="C3" s="255"/>
      <x:c r="D3" s="255"/>
      <x:c r="E3" s="255"/>
      <x:c r="F3" s="255"/>
      <x:c r="G3" s="255"/>
      <x:c r="H3" s="255"/>
      <x:c r="I3" s="255"/>
      <x:c r="J3" s="255"/>
      <x:c r="K3" s="255"/>
      <x:c r="L3" s="255"/>
      <x:c r="M3" s="255"/>
      <x:c r="N3" s="255"/>
    </x:row>
    <x:row r="4" ht="20" customHeight="1">
      <x:c r="A4" s="257" t="str">
        <x:v>Planning Controls</x:v>
      </x:c>
      <x:c r="B4" s="257"/>
      <x:c r="C4" s="257"/>
      <x:c r="D4" s="257"/>
      <x:c r="E4" s="255"/>
      <x:c r="F4" s="255"/>
      <x:c r="G4" s="255"/>
      <x:c r="H4" s="255"/>
      <x:c r="I4" s="255"/>
      <x:c r="J4" s="255"/>
      <x:c r="K4" s="255"/>
      <x:c r="L4" s="255"/>
      <x:c r="M4" s="255"/>
      <x:c r="N4" s="255"/>
    </x:row>
    <x:row r="5">
      <x:c r="A5" s="258" t="str">
        <x:v>Planning Year</x:v>
      </x:c>
      <x:c r="B5" s="259" t="n">
        <x:v>2026</x:v>
      </x:c>
      <x:c r="C5" s="255" t="str">
        <x:v>Year</x:v>
      </x:c>
      <x:c r="D5" s="255" t="str">
        <x:v>Synthetic portfolio planning year</x:v>
      </x:c>
      <x:c r="E5" s="255"/>
      <x:c r="F5" s="255"/>
      <x:c r="G5" s="255"/>
      <x:c r="H5" s="255"/>
      <x:c r="I5" s="255"/>
      <x:c r="J5" s="255"/>
      <x:c r="K5" s="255"/>
      <x:c r="L5" s="255"/>
      <x:c r="M5" s="255"/>
      <x:c r="N5" s="255"/>
    </x:row>
    <x:row r="6">
      <x:c r="A6" s="258" t="str">
        <x:v>Close Through</x:v>
      </x:c>
      <x:c r="B6" s="260" t="n">
        <x:v>46265</x:v>
      </x:c>
      <x:c r="C6" s="255" t="str">
        <x:v>Month-end</x:v>
      </x:c>
      <x:c r="D6" s="255" t="str">
        <x:v>Controls which staged months are treated as actual</x:v>
      </x:c>
      <x:c r="E6" s="255"/>
      <x:c r="F6" s="255"/>
      <x:c r="G6" s="255"/>
      <x:c r="H6" s="255"/>
      <x:c r="I6" s="255"/>
      <x:c r="J6" s="255"/>
      <x:c r="K6" s="255"/>
      <x:c r="L6" s="255"/>
      <x:c r="M6" s="255"/>
      <x:c r="N6" s="255"/>
    </x:row>
    <x:row r="7">
      <x:c r="A7" s="258" t="str">
        <x:v>Materiality $ Threshold</x:v>
      </x:c>
      <x:c r="B7" s="261" t="n">
        <x:v>0.1</x:v>
      </x:c>
      <x:c r="C7" s="255" t="str">
        <x:v>$mm</x:v>
      </x:c>
      <x:c r="D7" s="255" t="str">
        <x:v>Variance exception threshold</x:v>
      </x:c>
      <x:c r="E7" s="255"/>
      <x:c r="F7" s="255"/>
      <x:c r="G7" s="255"/>
      <x:c r="H7" s="255"/>
      <x:c r="I7" s="255"/>
      <x:c r="J7" s="255"/>
      <x:c r="K7" s="255"/>
      <x:c r="L7" s="255"/>
      <x:c r="M7" s="255"/>
      <x:c r="N7" s="255"/>
    </x:row>
    <x:row r="8">
      <x:c r="A8" s="258" t="str">
        <x:v>Materiality % Threshold</x:v>
      </x:c>
      <x:c r="B8" s="262" t="n">
        <x:v>0.05</x:v>
      </x:c>
      <x:c r="C8" s="255" t="str">
        <x:v>%</x:v>
      </x:c>
      <x:c r="D8" s="255" t="str">
        <x:v>Variance exception threshold</x:v>
      </x:c>
      <x:c r="E8" s="255"/>
      <x:c r="F8" s="255"/>
      <x:c r="G8" s="255"/>
      <x:c r="H8" s="255"/>
      <x:c r="I8" s="255"/>
      <x:c r="J8" s="255"/>
      <x:c r="K8" s="255"/>
      <x:c r="L8" s="255"/>
      <x:c r="M8" s="255"/>
      <x:c r="N8" s="255"/>
    </x:row>
    <x:row r="9">
      <x:c r="A9" s="258" t="str">
        <x:v>Closed Months</x:v>
      </x:c>
      <x:c r="B9" s="300" t="n">
        <x:f>MONTH(B6)</x:f>
        <x:v>8</x:v>
      </x:c>
      <x:c r="C9" s="255" t="str">
        <x:v>Months</x:v>
      </x:c>
      <x:c r="D9" s="255" t="str">
        <x:v>Derived from Close Through; used for rolling interest run-rate</x:v>
      </x:c>
      <x:c r="E9" s="255"/>
      <x:c r="F9" s="255"/>
      <x:c r="G9" s="255"/>
      <x:c r="H9" s="255"/>
      <x:c r="I9" s="255"/>
      <x:c r="J9" s="255"/>
      <x:c r="K9" s="255"/>
      <x:c r="L9" s="255"/>
      <x:c r="M9" s="255"/>
      <x:c r="N9" s="255"/>
    </x:row>
    <x:row r="10" ht="20" customHeight="1">
      <x:c r="A10" s="257" t="str">
        <x:v>Annual Budget Drivers</x:v>
      </x:c>
      <x:c r="B10" s="257"/>
      <x:c r="C10" s="257"/>
      <x:c r="D10" s="257"/>
      <x:c r="E10" s="255"/>
      <x:c r="F10" s="255"/>
      <x:c r="G10" s="255"/>
      <x:c r="H10" s="255"/>
      <x:c r="I10" s="255"/>
      <x:c r="J10" s="255"/>
      <x:c r="K10" s="255"/>
      <x:c r="L10" s="255"/>
      <x:c r="M10" s="255"/>
      <x:c r="N10" s="255"/>
    </x:row>
    <x:row r="11">
      <x:c r="A11" s="258" t="str">
        <x:v>Revenue</x:v>
      </x:c>
      <x:c r="B11" s="261" t="n">
        <x:v>19.2</x:v>
      </x:c>
      <x:c r="C11" s="255" t="str">
        <x:v>$mm</x:v>
      </x:c>
      <x:c r="D11" s="255" t="str">
        <x:v>Synthetic FY2026 budget</x:v>
      </x:c>
      <x:c r="E11" s="255"/>
      <x:c r="F11" s="255"/>
      <x:c r="G11" s="255"/>
      <x:c r="H11" s="255"/>
      <x:c r="I11" s="255"/>
      <x:c r="J11" s="255"/>
      <x:c r="K11" s="255"/>
      <x:c r="L11" s="255"/>
      <x:c r="M11" s="255"/>
      <x:c r="N11" s="255"/>
    </x:row>
    <x:row r="12">
      <x:c r="A12" s="258" t="str">
        <x:v>Gross Margin</x:v>
      </x:c>
      <x:c r="B12" s="262" t="n">
        <x:v>0.74</x:v>
      </x:c>
      <x:c r="C12" s="255" t="str">
        <x:v>%</x:v>
      </x:c>
      <x:c r="D12" s="255" t="str">
        <x:v>Synthetic FY2026 budget</x:v>
      </x:c>
      <x:c r="E12" s="255"/>
      <x:c r="F12" s="255"/>
      <x:c r="G12" s="255"/>
      <x:c r="H12" s="255"/>
      <x:c r="I12" s="255"/>
      <x:c r="J12" s="255"/>
      <x:c r="K12" s="255"/>
      <x:c r="L12" s="255"/>
      <x:c r="M12" s="255"/>
      <x:c r="N12" s="255"/>
    </x:row>
    <x:row r="13">
      <x:c r="A13" s="258" t="str">
        <x:v>Sales &amp; Marketing % Revenue</x:v>
      </x:c>
      <x:c r="B13" s="262" t="n">
        <x:v>0.31</x:v>
      </x:c>
      <x:c r="C13" s="255" t="str">
        <x:v>%</x:v>
      </x:c>
      <x:c r="D13" s="255" t="str">
        <x:v>Synthetic FY2026 budget</x:v>
      </x:c>
      <x:c r="E13" s="255"/>
      <x:c r="F13" s="255"/>
      <x:c r="G13" s="255"/>
      <x:c r="H13" s="255"/>
      <x:c r="I13" s="255"/>
      <x:c r="J13" s="255"/>
      <x:c r="K13" s="255"/>
      <x:c r="L13" s="255"/>
      <x:c r="M13" s="255"/>
      <x:c r="N13" s="255"/>
    </x:row>
    <x:row r="14">
      <x:c r="A14" s="258" t="str">
        <x:v>R&amp;D % Revenue</x:v>
      </x:c>
      <x:c r="B14" s="262" t="n">
        <x:v>0.185</x:v>
      </x:c>
      <x:c r="C14" s="255" t="str">
        <x:v>%</x:v>
      </x:c>
      <x:c r="D14" s="255" t="str">
        <x:v>Synthetic FY2026 budget</x:v>
      </x:c>
      <x:c r="E14" s="255"/>
      <x:c r="F14" s="255"/>
      <x:c r="G14" s="255"/>
      <x:c r="H14" s="255"/>
      <x:c r="I14" s="255"/>
      <x:c r="J14" s="255"/>
      <x:c r="K14" s="255"/>
      <x:c r="L14" s="255"/>
      <x:c r="M14" s="255"/>
      <x:c r="N14" s="255"/>
    </x:row>
    <x:row r="15">
      <x:c r="A15" s="258" t="str">
        <x:v>G&amp;A % Revenue</x:v>
      </x:c>
      <x:c r="B15" s="262" t="n">
        <x:v>0.155</x:v>
      </x:c>
      <x:c r="C15" s="255" t="str">
        <x:v>%</x:v>
      </x:c>
      <x:c r="D15" s="255" t="str">
        <x:v>Synthetic FY2026 budget</x:v>
      </x:c>
      <x:c r="E15" s="255"/>
      <x:c r="F15" s="255"/>
      <x:c r="G15" s="255"/>
      <x:c r="H15" s="255"/>
      <x:c r="I15" s="255"/>
      <x:c r="J15" s="255"/>
      <x:c r="K15" s="255"/>
      <x:c r="L15" s="255"/>
      <x:c r="M15" s="255"/>
      <x:c r="N15" s="255"/>
    </x:row>
    <x:row r="16">
      <x:c r="A16" s="258" t="str">
        <x:v>D&amp;A % Revenue</x:v>
      </x:c>
      <x:c r="B16" s="262" t="n">
        <x:v>0.02</x:v>
      </x:c>
      <x:c r="C16" s="255" t="str">
        <x:v>%</x:v>
      </x:c>
      <x:c r="D16" s="255" t="str">
        <x:v>Synthetic FY2026 budget</x:v>
      </x:c>
      <x:c r="E16" s="255"/>
      <x:c r="F16" s="255"/>
      <x:c r="G16" s="255"/>
      <x:c r="H16" s="255"/>
      <x:c r="I16" s="255"/>
      <x:c r="J16" s="255"/>
      <x:c r="K16" s="255"/>
      <x:c r="L16" s="255"/>
      <x:c r="M16" s="255"/>
      <x:c r="N16" s="255"/>
    </x:row>
    <x:row r="17">
      <x:c r="A17" s="258" t="str">
        <x:v>Interest Expense</x:v>
      </x:c>
      <x:c r="B17" s="261" t="n">
        <x:v>0.32</x:v>
      </x:c>
      <x:c r="C17" s="255" t="str">
        <x:v>$mm</x:v>
      </x:c>
      <x:c r="D17" s="255" t="str">
        <x:v>Synthetic FY2026 budget</x:v>
      </x:c>
      <x:c r="E17" s="255"/>
      <x:c r="F17" s="255"/>
      <x:c r="G17" s="255"/>
      <x:c r="H17" s="255"/>
      <x:c r="I17" s="255"/>
      <x:c r="J17" s="255"/>
      <x:c r="K17" s="255"/>
      <x:c r="L17" s="255"/>
      <x:c r="M17" s="255"/>
      <x:c r="N17" s="255"/>
    </x:row>
    <x:row r="18">
      <x:c r="A18" s="258" t="str">
        <x:v>Tax Rate</x:v>
      </x:c>
      <x:c r="B18" s="262" t="n">
        <x:v>0.25</x:v>
      </x:c>
      <x:c r="C18" s="255" t="str">
        <x:v>%</x:v>
      </x:c>
      <x:c r="D18" s="255" t="str">
        <x:v>Synthetic FY2026 budget</x:v>
      </x:c>
      <x:c r="E18" s="255"/>
      <x:c r="F18" s="255"/>
      <x:c r="G18" s="255"/>
      <x:c r="H18" s="255"/>
      <x:c r="I18" s="255"/>
      <x:c r="J18" s="255"/>
      <x:c r="K18" s="255"/>
      <x:c r="L18" s="255"/>
      <x:c r="M18" s="255"/>
      <x:c r="N18" s="255"/>
    </x:row>
    <x:row r="19">
      <x:c r="A19" s="255"/>
      <x:c r="B19" s="255"/>
      <x:c r="C19" s="255"/>
      <x:c r="D19" s="255"/>
      <x:c r="E19" s="255"/>
      <x:c r="F19" s="255"/>
      <x:c r="G19" s="255"/>
      <x:c r="H19" s="255"/>
      <x:c r="I19" s="255"/>
      <x:c r="J19" s="255"/>
      <x:c r="K19" s="255"/>
      <x:c r="L19" s="255"/>
      <x:c r="M19" s="255"/>
      <x:c r="N19" s="255"/>
    </x:row>
    <x:row r="20" ht="20" customHeight="1">
      <x:c r="A20" s="257" t="str">
        <x:v>Rolling Forecast Adjustment Inputs</x:v>
      </x:c>
      <x:c r="B20" s="257"/>
      <x:c r="C20" s="257"/>
      <x:c r="D20" s="257"/>
      <x:c r="E20" s="255"/>
      <x:c r="F20" s="255"/>
      <x:c r="G20" s="255"/>
      <x:c r="H20" s="255"/>
      <x:c r="I20" s="255"/>
      <x:c r="J20" s="255"/>
      <x:c r="K20" s="255"/>
      <x:c r="L20" s="255"/>
      <x:c r="M20" s="255"/>
      <x:c r="N20" s="255"/>
    </x:row>
    <x:row r="21">
      <x:c r="A21" s="258" t="str">
        <x:v>Revenue Run-Rate Adjustment</x:v>
      </x:c>
      <x:c r="B21" s="263" t="n">
        <x:v>1</x:v>
      </x:c>
      <x:c r="C21" s="255" t="str">
        <x:v>x</x:v>
      </x:c>
      <x:c r="D21" s="255" t="str">
        <x:v>Applied to automated YTD actual / YTD budget realization factor</x:v>
      </x:c>
      <x:c r="E21" s="255"/>
      <x:c r="F21" s="255"/>
      <x:c r="G21" s="255"/>
      <x:c r="H21" s="255"/>
      <x:c r="I21" s="255"/>
      <x:c r="J21" s="255"/>
      <x:c r="K21" s="255"/>
      <x:c r="L21" s="255"/>
      <x:c r="M21" s="255"/>
      <x:c r="N21" s="255"/>
    </x:row>
    <x:row r="22">
      <x:c r="A22" s="258" t="str">
        <x:v>Gross Margin Adjustment to YTD</x:v>
      </x:c>
      <x:c r="B22" s="262" t="n">
        <x:v>0.005</x:v>
      </x:c>
      <x:c r="C22" s="255" t="str">
        <x:v>pts</x:v>
      </x:c>
      <x:c r="D22" s="255" t="str">
        <x:v>Adds 50 bps to YTD actual gross margin for remaining months</x:v>
      </x:c>
      <x:c r="E22" s="255"/>
      <x:c r="F22" s="255"/>
      <x:c r="G22" s="255"/>
      <x:c r="H22" s="255"/>
      <x:c r="I22" s="255"/>
      <x:c r="J22" s="255"/>
      <x:c r="K22" s="255"/>
      <x:c r="L22" s="255"/>
      <x:c r="M22" s="255"/>
      <x:c r="N22" s="255"/>
    </x:row>
    <x:row r="23">
      <x:c r="A23" s="258" t="str">
        <x:v>S&amp;M Ratio Adjustment to YTD</x:v>
      </x:c>
      <x:c r="B23" s="262" t="n">
        <x:v>-0.005</x:v>
      </x:c>
      <x:c r="C23" s="255" t="str">
        <x:v>pts</x:v>
      </x:c>
      <x:c r="D23" s="255" t="str">
        <x:v>Assumes 50 bps efficiency improvement vs YTD</x:v>
      </x:c>
      <x:c r="E23" s="255"/>
      <x:c r="F23" s="255"/>
      <x:c r="G23" s="255"/>
      <x:c r="H23" s="255"/>
      <x:c r="I23" s="255"/>
      <x:c r="J23" s="255"/>
      <x:c r="K23" s="255"/>
      <x:c r="L23" s="255"/>
      <x:c r="M23" s="255"/>
      <x:c r="N23" s="255"/>
    </x:row>
    <x:row r="24">
      <x:c r="A24" s="258" t="str">
        <x:v>R&amp;D Ratio Adjustment to YTD</x:v>
      </x:c>
      <x:c r="B24" s="262" t="n">
        <x:v>0</x:v>
      </x:c>
      <x:c r="C24" s="255" t="str">
        <x:v>pts</x:v>
      </x:c>
      <x:c r="D24" s="255" t="str">
        <x:v>Keeps R&amp;D intensity at YTD run rate</x:v>
      </x:c>
      <x:c r="E24" s="255"/>
      <x:c r="F24" s="255"/>
      <x:c r="G24" s="255"/>
      <x:c r="H24" s="255"/>
      <x:c r="I24" s="255"/>
      <x:c r="J24" s="255"/>
      <x:c r="K24" s="255"/>
      <x:c r="L24" s="255"/>
      <x:c r="M24" s="255"/>
      <x:c r="N24" s="255"/>
    </x:row>
    <x:row r="25">
      <x:c r="A25" s="258" t="str">
        <x:v>G&amp;A Ratio Adjustment to YTD</x:v>
      </x:c>
      <x:c r="B25" s="262" t="n">
        <x:v>-0.005</x:v>
      </x:c>
      <x:c r="C25" s="255" t="str">
        <x:v>pts</x:v>
      </x:c>
      <x:c r="D25" s="255" t="str">
        <x:v>Assumes 50 bps efficiency improvement vs YTD</x:v>
      </x:c>
      <x:c r="E25" s="255"/>
      <x:c r="F25" s="255"/>
      <x:c r="G25" s="255"/>
      <x:c r="H25" s="255"/>
      <x:c r="I25" s="255"/>
      <x:c r="J25" s="255"/>
      <x:c r="K25" s="255"/>
      <x:c r="L25" s="255"/>
      <x:c r="M25" s="255"/>
      <x:c r="N25" s="255"/>
    </x:row>
    <x:row r="26">
      <x:c r="A26" s="258" t="str">
        <x:v>Forecast D&amp;A % Revenue</x:v>
      </x:c>
      <x:c r="B26" s="262" t="n">
        <x:v>0.02</x:v>
      </x:c>
      <x:c r="C26" s="255" t="str">
        <x:v>%</x:v>
      </x:c>
      <x:c r="D26" s="255" t="str">
        <x:v>Synthetic portfolio forecast assumption</x:v>
      </x:c>
      <x:c r="E26" s="255"/>
      <x:c r="F26" s="255"/>
      <x:c r="G26" s="255"/>
      <x:c r="H26" s="255"/>
      <x:c r="I26" s="255"/>
      <x:c r="J26" s="255"/>
      <x:c r="K26" s="255"/>
      <x:c r="L26" s="255"/>
      <x:c r="M26" s="255"/>
      <x:c r="N26" s="255"/>
    </x:row>
    <x:row r="27">
      <x:c r="A27" s="255"/>
      <x:c r="B27" s="255"/>
      <x:c r="C27" s="255"/>
      <x:c r="D27" s="255"/>
      <x:c r="E27" s="255"/>
      <x:c r="F27" s="255"/>
      <x:c r="G27" s="255"/>
      <x:c r="H27" s="255"/>
      <x:c r="I27" s="255"/>
      <x:c r="J27" s="255"/>
      <x:c r="K27" s="255"/>
      <x:c r="L27" s="255"/>
      <x:c r="M27" s="255"/>
      <x:c r="N27" s="255"/>
    </x:row>
    <x:row r="28">
      <x:c r="A28" s="255"/>
      <x:c r="B28" s="255"/>
      <x:c r="C28" s="255"/>
      <x:c r="D28" s="255"/>
      <x:c r="E28" s="255"/>
      <x:c r="F28" s="255"/>
      <x:c r="G28" s="255"/>
      <x:c r="H28" s="255"/>
      <x:c r="I28" s="255"/>
      <x:c r="J28" s="255"/>
      <x:c r="K28" s="255"/>
      <x:c r="L28" s="255"/>
      <x:c r="M28" s="255"/>
      <x:c r="N28" s="255"/>
    </x:row>
    <x:row r="29" ht="20" customHeight="1">
      <x:c r="A29" s="257" t="str">
        <x:v>Monthly Revenue Seasonality</x:v>
      </x:c>
      <x:c r="B29" s="257"/>
      <x:c r="C29" s="257"/>
      <x:c r="D29" s="257"/>
      <x:c r="E29" s="257"/>
      <x:c r="F29" s="257"/>
      <x:c r="G29" s="257"/>
      <x:c r="H29" s="257"/>
      <x:c r="I29" s="257"/>
      <x:c r="J29" s="257"/>
      <x:c r="K29" s="257"/>
      <x:c r="L29" s="257"/>
      <x:c r="M29" s="257"/>
      <x:c r="N29" s="255"/>
    </x:row>
    <x:row r="30">
      <x:c r="A30" s="255"/>
      <x:c r="B30" s="264" t="n">
        <x:v>46023</x:v>
      </x:c>
      <x:c r="C30" s="264" t="n">
        <x:v>46054</x:v>
      </x:c>
      <x:c r="D30" s="264" t="n">
        <x:v>46082</x:v>
      </x:c>
      <x:c r="E30" s="264" t="n">
        <x:v>46113</x:v>
      </x:c>
      <x:c r="F30" s="264" t="n">
        <x:v>46143</x:v>
      </x:c>
      <x:c r="G30" s="264" t="n">
        <x:v>46174</x:v>
      </x:c>
      <x:c r="H30" s="264" t="n">
        <x:v>46204</x:v>
      </x:c>
      <x:c r="I30" s="264" t="n">
        <x:v>46235</x:v>
      </x:c>
      <x:c r="J30" s="264" t="n">
        <x:v>46266</x:v>
      </x:c>
      <x:c r="K30" s="264" t="n">
        <x:v>46296</x:v>
      </x:c>
      <x:c r="L30" s="264" t="n">
        <x:v>46327</x:v>
      </x:c>
      <x:c r="M30" s="264" t="n">
        <x:v>46357</x:v>
      </x:c>
      <x:c r="N30" s="255" t="str">
        <x:v>Total</x:v>
      </x:c>
    </x:row>
    <x:row r="31">
      <x:c r="A31" s="255" t="str">
        <x:v>Revenue Weight</x:v>
      </x:c>
      <x:c r="B31" s="262" t="n">
        <x:v>0.073</x:v>
      </x:c>
      <x:c r="C31" s="262" t="n">
        <x:v>0.075</x:v>
      </x:c>
      <x:c r="D31" s="262" t="n">
        <x:v>0.077</x:v>
      </x:c>
      <x:c r="E31" s="262" t="n">
        <x:v>0.078</x:v>
      </x:c>
      <x:c r="F31" s="262" t="n">
        <x:v>0.08</x:v>
      </x:c>
      <x:c r="G31" s="262" t="n">
        <x:v>0.081</x:v>
      </x:c>
      <x:c r="H31" s="262" t="n">
        <x:v>0.082</x:v>
      </x:c>
      <x:c r="I31" s="262" t="n">
        <x:v>0.083</x:v>
      </x:c>
      <x:c r="J31" s="262" t="n">
        <x:v>0.085</x:v>
      </x:c>
      <x:c r="K31" s="262" t="n">
        <x:v>0.087</x:v>
      </x:c>
      <x:c r="L31" s="262" t="n">
        <x:v>0.092</x:v>
      </x:c>
      <x:c r="M31" s="262" t="n">
        <x:v>0.107</x:v>
      </x:c>
      <x:c r="N31" s="265" t="n">
        <x:f>SUM(B31:M31)</x:f>
        <x:v>0.9999999999999999</x:v>
      </x:c>
    </x:row>
    <x:row r="32">
      <x:c r="A32" s="255"/>
      <x:c r="B32" s="255"/>
      <x:c r="C32" s="255"/>
      <x:c r="D32" s="255"/>
      <x:c r="E32" s="255"/>
      <x:c r="F32" s="255"/>
      <x:c r="G32" s="255"/>
      <x:c r="H32" s="255"/>
      <x:c r="I32" s="255"/>
      <x:c r="J32" s="255"/>
      <x:c r="K32" s="255"/>
      <x:c r="L32" s="255"/>
      <x:c r="M32" s="255"/>
      <x:c r="N32" s="255"/>
    </x:row>
    <x:row r="33">
      <x:c r="A33" s="258" t="str">
        <x:v>Design note</x:v>
      </x:c>
      <x:c r="B33" s="266" t="str">
        <x:v>The demo close is Aug-26. Actuals after the cutoff remain in staging but are deliberately ignored by the rolling forecast.</x:v>
      </x:c>
      <x:c r="C33" s="266"/>
      <x:c r="D33" s="266"/>
      <x:c r="E33" s="255"/>
      <x:c r="F33" s="255"/>
      <x:c r="G33" s="255"/>
      <x:c r="H33" s="255"/>
      <x:c r="I33" s="255"/>
      <x:c r="J33" s="255"/>
      <x:c r="K33" s="255"/>
      <x:c r="L33" s="255"/>
      <x:c r="M33" s="255"/>
      <x:c r="N33" s="255"/>
    </x:row>
    <x:row r="34">
      <x:c r="A34" s="258" t="str">
        <x:v>Automation logic</x:v>
      </x:c>
      <x:c r="B34" s="266" t="str">
        <x:v>Closed months = imported actuals. Open months = budget seasonality adjusted by YTD realization and YTD cost/margin run rates.</x:v>
      </x:c>
      <x:c r="C34" s="266"/>
      <x:c r="D34" s="266"/>
      <x:c r="E34" s="255"/>
      <x:c r="F34" s="255"/>
      <x:c r="G34" s="255"/>
      <x:c r="H34" s="255"/>
      <x:c r="I34" s="255"/>
      <x:c r="J34" s="255"/>
      <x:c r="K34" s="255"/>
      <x:c r="L34" s="255"/>
      <x:c r="M34" s="255"/>
      <x:c r="N34" s="255"/>
    </x:row>
    <x:row r="35" ht="24" customHeight="1">
      <x:c r="A35" s="351" t="str">
        <x:v>v1.2.1 Variance Intelligence</x:v>
      </x:c>
      <x:c r="B35" s="351"/>
      <x:c r="C35" s="351"/>
      <x:c r="D35" s="351"/>
    </x:row>
    <x:row r="36" ht="24" customHeight="1">
      <x:c r="A36" s="12" t="str">
        <x:v>Material review</x:v>
      </x:c>
      <x:c r="B36" s="12" t="str">
        <x:v>A line is escalated only when both the $ and % thresholds are exceeded.</x:v>
      </x:c>
      <x:c r="C36" s="12"/>
      <x:c r="D36" s="12"/>
    </x:row>
    <x:row r="37" ht="24" customHeight="1">
      <x:c r="A37" s="12" t="str">
        <x:v>Direction</x:v>
      </x:c>
      <x:c r="B37" s="12" t="str">
        <x:v>Revenue/profit upside is favorable; expense downside is favorable.</x:v>
      </x:c>
      <x:c r="C37" s="12"/>
      <x:c r="D37" s="12"/>
    </x:row>
    <x:row r="38" ht="24" customHeight="1">
      <x:c r="A38" s="12" t="str">
        <x:v>Derived outcomes</x:v>
      </x:c>
      <x:c r="B38" s="12" t="str">
        <x:v>EBIT, EBT, taxes, and net income are identified as downstream outcomes so they are not double-counted as root causes.</x:v>
      </x:c>
      <x:c r="C38" s="12"/>
      <x:c r="D38" s="12"/>
    </x:row>
  </x:sheetData>
  <x:mergeCells>
    <x:mergeCell ref="A1:D1"/>
    <x:mergeCell ref="A2:D2"/>
    <x:mergeCell ref="A4:D4"/>
    <x:mergeCell ref="A10:D10"/>
    <x:mergeCell ref="A20:D20"/>
    <x:mergeCell ref="A29:M29"/>
  </x:mergeCells>
  <x:pageMargins left="0.7" right="0.7" top="0.75" bottom="0.75" header="0.3" footer="0.3"/>
</x:worksheet>
</file>

<file path=xl/worksheets/sheet16.xml><?xml version="1.0" encoding="utf-8"?>
<x:worksheet xmlns:x="http://schemas.openxmlformats.org/spreadsheetml/2006/main">
  <x:sheetFormatPr defaultRowHeight="15"/>
  <x:cols>
    <x:col min="1" max="1" width="27"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2" hidden="0" customWidth="1"/>
  </x:cols>
  <x:sheetData>
    <x:row r="1" ht="24" customHeight="1">
      <x:c r="A1" s="243" t="str">
        <x:v>FY2026 Monthly Budget | Synthetic SaaS Company</x:v>
      </x:c>
      <x:c r="B1" s="243"/>
      <x:c r="C1" s="243"/>
      <x:c r="D1" s="243"/>
      <x:c r="E1" s="243"/>
      <x:c r="F1" s="243"/>
      <x:c r="G1" s="243"/>
      <x:c r="H1" s="243"/>
      <x:c r="I1" s="243"/>
      <x:c r="J1" s="243"/>
      <x:c r="K1" s="243"/>
      <x:c r="L1" s="243"/>
      <x:c r="M1" s="243"/>
      <x:c r="N1" s="243"/>
      <x:c r="O1" s="243"/>
    </x:row>
    <x:row r="2">
      <x:c r="A2" s="179" t="str">
        <x:v>Units: USD $mm | Monthly revenue uses seasonality; cost structure is driver-based</x:v>
      </x:c>
      <x:c r="B2" s="179"/>
      <x:c r="C2" s="179"/>
      <x:c r="D2" s="179"/>
      <x:c r="E2" s="179"/>
      <x:c r="F2" s="179"/>
      <x:c r="G2" s="179"/>
      <x:c r="H2" s="179"/>
      <x:c r="I2" s="179"/>
      <x:c r="J2" s="179"/>
      <x:c r="K2" s="179"/>
      <x:c r="L2" s="179"/>
      <x:c r="M2" s="179"/>
      <x:c r="N2" s="179"/>
      <x:c r="O2" s="179"/>
    </x:row>
    <x:row r="3">
      <x:c r="A3" s="174"/>
      <x:c r="B3" s="174"/>
      <x:c r="C3" s="174"/>
      <x:c r="D3" s="174"/>
      <x:c r="E3" s="174"/>
      <x:c r="F3" s="174"/>
      <x:c r="G3" s="174"/>
      <x:c r="H3" s="174"/>
      <x:c r="I3" s="174"/>
      <x:c r="J3" s="174"/>
      <x:c r="K3" s="174"/>
      <x:c r="L3" s="174"/>
      <x:c r="M3" s="174"/>
      <x:c r="N3" s="174"/>
      <x:c r="O3" s="174"/>
    </x:row>
    <x:row r="4">
      <x:c r="A4" s="270" t="str">
        <x:v>Metric</x:v>
      </x:c>
      <x:c r="B4" s="271" t="n">
        <x:v>46023</x:v>
      </x:c>
      <x:c r="C4" s="271" t="n">
        <x:v>46054</x:v>
      </x:c>
      <x:c r="D4" s="271" t="n">
        <x:v>46082</x:v>
      </x:c>
      <x:c r="E4" s="271" t="n">
        <x:v>46113</x:v>
      </x:c>
      <x:c r="F4" s="271" t="n">
        <x:v>46143</x:v>
      </x:c>
      <x:c r="G4" s="271" t="n">
        <x:v>46174</x:v>
      </x:c>
      <x:c r="H4" s="271" t="n">
        <x:v>46204</x:v>
      </x:c>
      <x:c r="I4" s="271" t="n">
        <x:v>46235</x:v>
      </x:c>
      <x:c r="J4" s="271" t="n">
        <x:v>46266</x:v>
      </x:c>
      <x:c r="K4" s="271" t="n">
        <x:v>46296</x:v>
      </x:c>
      <x:c r="L4" s="271" t="n">
        <x:v>46327</x:v>
      </x:c>
      <x:c r="M4" s="271" t="n">
        <x:v>46357</x:v>
      </x:c>
      <x:c r="N4" s="270" t="str">
        <x:v>FY2026 Budget</x:v>
      </x:c>
      <x:c r="O4" s="270" t="str">
        <x:v>Source</x:v>
      </x:c>
    </x:row>
    <x:row r="5">
      <x:c r="A5" s="174"/>
      <x:c r="B5" s="174"/>
      <x:c r="C5" s="174"/>
      <x:c r="D5" s="174"/>
      <x:c r="E5" s="174"/>
      <x:c r="F5" s="174"/>
      <x:c r="G5" s="174"/>
      <x:c r="H5" s="174"/>
      <x:c r="I5" s="174"/>
      <x:c r="J5" s="174"/>
      <x:c r="K5" s="174"/>
      <x:c r="L5" s="174"/>
      <x:c r="M5" s="174"/>
      <x:c r="N5" s="174"/>
      <x:c r="O5" s="174"/>
    </x:row>
    <x:row r="6">
      <x:c r="A6" s="174"/>
      <x:c r="B6" s="174"/>
      <x:c r="C6" s="174"/>
      <x:c r="D6" s="174"/>
      <x:c r="E6" s="174"/>
      <x:c r="F6" s="174"/>
      <x:c r="G6" s="174"/>
      <x:c r="H6" s="174"/>
      <x:c r="I6" s="174"/>
      <x:c r="J6" s="174"/>
      <x:c r="K6" s="174"/>
      <x:c r="L6" s="174"/>
      <x:c r="M6" s="174"/>
      <x:c r="N6" s="174"/>
      <x:c r="O6" s="174"/>
    </x:row>
    <x:row r="7">
      <x:c r="A7" s="72" t="str">
        <x:v>Revenue</x:v>
      </x:c>
      <x:c r="B7" s="272" t="n">
        <x:f>Planning_Assumptions!$B$11*Planning_Assumptions!B$31</x:f>
        <x:v>1.4016</x:v>
      </x:c>
      <x:c r="C7" s="272" t="n">
        <x:f>Planning_Assumptions!$B$11*Planning_Assumptions!C$31</x:f>
        <x:v>1.44</x:v>
      </x:c>
      <x:c r="D7" s="272" t="n">
        <x:f>Planning_Assumptions!$B$11*Planning_Assumptions!D$31</x:f>
        <x:v>1.4784</x:v>
      </x:c>
      <x:c r="E7" s="272" t="n">
        <x:f>Planning_Assumptions!$B$11*Planning_Assumptions!E$31</x:f>
        <x:v>1.4976</x:v>
      </x:c>
      <x:c r="F7" s="272" t="n">
        <x:f>Planning_Assumptions!$B$11*Planning_Assumptions!F$31</x:f>
        <x:v>1.536</x:v>
      </x:c>
      <x:c r="G7" s="272" t="n">
        <x:f>Planning_Assumptions!$B$11*Planning_Assumptions!G$31</x:f>
        <x:v>1.5552</x:v>
      </x:c>
      <x:c r="H7" s="272" t="n">
        <x:f>Planning_Assumptions!$B$11*Planning_Assumptions!H$31</x:f>
        <x:v>1.5744</x:v>
      </x:c>
      <x:c r="I7" s="272" t="n">
        <x:f>Planning_Assumptions!$B$11*Planning_Assumptions!I$31</x:f>
        <x:v>1.5936000000000001</x:v>
      </x:c>
      <x:c r="J7" s="272" t="n">
        <x:f>Planning_Assumptions!$B$11*Planning_Assumptions!J$31</x:f>
        <x:v>1.6320000000000001</x:v>
      </x:c>
      <x:c r="K7" s="272" t="n">
        <x:f>Planning_Assumptions!$B$11*Planning_Assumptions!K$31</x:f>
        <x:v>1.6703999999999999</x:v>
      </x:c>
      <x:c r="L7" s="272" t="n">
        <x:f>Planning_Assumptions!$B$11*Planning_Assumptions!L$31</x:f>
        <x:v>1.7664</x:v>
      </x:c>
      <x:c r="M7" s="272" t="n">
        <x:f>Planning_Assumptions!$B$11*Planning_Assumptions!M$31</x:f>
        <x:v>2.0544</x:v>
      </x:c>
      <x:c r="N7" s="272" t="n">
        <x:f>SUM(B7:M7)</x:f>
        <x:v>19.200000000000003</x:v>
      </x:c>
      <x:c r="O7" s="174" t="str">
        <x:v>Planning_Assumptions</x:v>
      </x:c>
    </x:row>
    <x:row r="8">
      <x:c r="A8" s="72" t="str">
        <x:v>COGS</x:v>
      </x:c>
      <x:c r="B8" s="272" t="n">
        <x:f>B7*(1-Planning_Assumptions!$B$12)</x:f>
        <x:v>0.364416</x:v>
      </x:c>
      <x:c r="C8" s="272" t="n">
        <x:f>C7*(1-Planning_Assumptions!$B$12)</x:f>
        <x:v>0.3744</x:v>
      </x:c>
      <x:c r="D8" s="272" t="n">
        <x:f>D7*(1-Planning_Assumptions!$B$12)</x:f>
        <x:v>0.384384</x:v>
      </x:c>
      <x:c r="E8" s="272" t="n">
        <x:f>E7*(1-Planning_Assumptions!$B$12)</x:f>
        <x:v>0.389376</x:v>
      </x:c>
      <x:c r="F8" s="272" t="n">
        <x:f>F7*(1-Planning_Assumptions!$B$12)</x:f>
        <x:v>0.39936000000000005</x:v>
      </x:c>
      <x:c r="G8" s="272" t="n">
        <x:f>G7*(1-Planning_Assumptions!$B$12)</x:f>
        <x:v>0.404352</x:v>
      </x:c>
      <x:c r="H8" s="272" t="n">
        <x:f>H7*(1-Planning_Assumptions!$B$12)</x:f>
        <x:v>0.40934400000000004</x:v>
      </x:c>
      <x:c r="I8" s="272" t="n">
        <x:f>I7*(1-Planning_Assumptions!$B$12)</x:f>
        <x:v>0.41433600000000004</x:v>
      </x:c>
      <x:c r="J8" s="272" t="n">
        <x:f>J7*(1-Planning_Assumptions!$B$12)</x:f>
        <x:v>0.42432000000000003</x:v>
      </x:c>
      <x:c r="K8" s="272" t="n">
        <x:f>K7*(1-Planning_Assumptions!$B$12)</x:f>
        <x:v>0.43430399999999997</x:v>
      </x:c>
      <x:c r="L8" s="272" t="n">
        <x:f>L7*(1-Planning_Assumptions!$B$12)</x:f>
        <x:v>0.459264</x:v>
      </x:c>
      <x:c r="M8" s="272" t="n">
        <x:f>M7*(1-Planning_Assumptions!$B$12)</x:f>
        <x:v>0.534144</x:v>
      </x:c>
      <x:c r="N8" s="272" t="n">
        <x:f>SUM(B8:M8)</x:f>
        <x:v>4.991999999999999</x:v>
      </x:c>
      <x:c r="O8" s="174" t="str">
        <x:v>Planning_Assumptions</x:v>
      </x:c>
    </x:row>
    <x:row r="9">
      <x:c r="A9" s="275" t="str">
        <x:v>Gross Profit</x:v>
      </x:c>
      <x:c r="B9" s="276" t="n">
        <x:f>B7-B8</x:f>
        <x:v>1.0371839999999999</x:v>
      </x:c>
      <x:c r="C9" s="276" t="n">
        <x:f>C7-C8</x:f>
        <x:v>1.0655999999999999</x:v>
      </x:c>
      <x:c r="D9" s="276" t="n">
        <x:f>D7-D8</x:f>
        <x:v>1.0940159999999999</x:v>
      </x:c>
      <x:c r="E9" s="276" t="n">
        <x:f>E7-E8</x:f>
        <x:v>1.108224</x:v>
      </x:c>
      <x:c r="F9" s="276" t="n">
        <x:f>F7-F8</x:f>
        <x:v>1.1366399999999999</x:v>
      </x:c>
      <x:c r="G9" s="276" t="n">
        <x:f>G7-G8</x:f>
        <x:v>1.1508479999999999</x:v>
      </x:c>
      <x:c r="H9" s="276" t="n">
        <x:f>H7-H8</x:f>
        <x:v>1.1650559999999999</x:v>
      </x:c>
      <x:c r="I9" s="276" t="n">
        <x:f>I7-I8</x:f>
        <x:v>1.179264</x:v>
      </x:c>
      <x:c r="J9" s="276" t="n">
        <x:f>J7-J8</x:f>
        <x:v>1.20768</x:v>
      </x:c>
      <x:c r="K9" s="276" t="n">
        <x:f>K7-K8</x:f>
        <x:v>1.2360959999999999</x:v>
      </x:c>
      <x:c r="L9" s="276" t="n">
        <x:f>L7-L8</x:f>
        <x:v>1.3071359999999999</x:v>
      </x:c>
      <x:c r="M9" s="276" t="n">
        <x:f>M7-M8</x:f>
        <x:v>1.5202559999999998</x:v>
      </x:c>
      <x:c r="N9" s="276" t="n">
        <x:f>SUM(B9:M9)</x:f>
        <x:v>14.207999999999998</x:v>
      </x:c>
      <x:c r="O9" s="174" t="str">
        <x:v>Calculated</x:v>
      </x:c>
    </x:row>
    <x:row r="10">
      <x:c r="A10" s="72" t="str">
        <x:v>Gross Margin</x:v>
      </x:c>
      <x:c r="B10" s="74" t="n">
        <x:f>IF(B7=0,0,B9/B7)</x:f>
        <x:v>0.74</x:v>
      </x:c>
      <x:c r="C10" s="74" t="n">
        <x:f>IF(C7=0,0,C9/C7)</x:f>
        <x:v>0.74</x:v>
      </x:c>
      <x:c r="D10" s="74" t="n">
        <x:f>IF(D7=0,0,D9/D7)</x:f>
        <x:v>0.74</x:v>
      </x:c>
      <x:c r="E10" s="74" t="n">
        <x:f>IF(E7=0,0,E9/E7)</x:f>
        <x:v>0.74</x:v>
      </x:c>
      <x:c r="F10" s="74" t="n">
        <x:f>IF(F7=0,0,F9/F7)</x:f>
        <x:v>0.7399999999999999</x:v>
      </x:c>
      <x:c r="G10" s="74" t="n">
        <x:f>IF(G7=0,0,G9/G7)</x:f>
        <x:v>0.74</x:v>
      </x:c>
      <x:c r="H10" s="74" t="n">
        <x:f>IF(H7=0,0,H9/H7)</x:f>
        <x:v>0.7399999999999999</x:v>
      </x:c>
      <x:c r="I10" s="74" t="n">
        <x:f>IF(I7=0,0,I9/I7)</x:f>
        <x:v>0.74</x:v>
      </x:c>
      <x:c r="J10" s="74" t="n">
        <x:f>IF(J7=0,0,J9/J7)</x:f>
        <x:v>0.74</x:v>
      </x:c>
      <x:c r="K10" s="74" t="n">
        <x:f>IF(K7=0,0,K9/K7)</x:f>
        <x:v>0.74</x:v>
      </x:c>
      <x:c r="L10" s="74" t="n">
        <x:f>IF(L7=0,0,L9/L7)</x:f>
        <x:v>0.7399999999999999</x:v>
      </x:c>
      <x:c r="M10" s="74" t="n">
        <x:f>IF(M7=0,0,M9/M7)</x:f>
        <x:v>0.74</x:v>
      </x:c>
      <x:c r="N10" s="74" t="n">
        <x:f>IF(N7=0,0,N9/N7)</x:f>
        <x:v>0.7399999999999998</x:v>
      </x:c>
      <x:c r="O10" s="174" t="str">
        <x:v>Calculated</x:v>
      </x:c>
    </x:row>
    <x:row r="11">
      <x:c r="A11" s="72" t="str"/>
      <x:c r="B11" s="272"/>
      <x:c r="C11" s="272"/>
      <x:c r="D11" s="272"/>
      <x:c r="E11" s="272"/>
      <x:c r="F11" s="272"/>
      <x:c r="G11" s="272"/>
      <x:c r="H11" s="272"/>
      <x:c r="I11" s="272"/>
      <x:c r="J11" s="272"/>
      <x:c r="K11" s="272"/>
      <x:c r="L11" s="272"/>
      <x:c r="M11" s="272"/>
      <x:c r="N11" s="272"/>
      <x:c r="O11" s="174"/>
    </x:row>
    <x:row r="12">
      <x:c r="A12" s="72" t="str">
        <x:v>Sales &amp; Marketing</x:v>
      </x:c>
      <x:c r="B12" s="272" t="n">
        <x:f>B7*Planning_Assumptions!$B$13</x:f>
        <x:v>0.434496</x:v>
      </x:c>
      <x:c r="C12" s="272" t="n">
        <x:f>C7*Planning_Assumptions!$B$13</x:f>
        <x:v>0.44639999999999996</x:v>
      </x:c>
      <x:c r="D12" s="272" t="n">
        <x:f>D7*Planning_Assumptions!$B$13</x:f>
        <x:v>0.458304</x:v>
      </x:c>
      <x:c r="E12" s="272" t="n">
        <x:f>E7*Planning_Assumptions!$B$13</x:f>
        <x:v>0.464256</x:v>
      </x:c>
      <x:c r="F12" s="272" t="n">
        <x:f>F7*Planning_Assumptions!$B$13</x:f>
        <x:v>0.47616</x:v>
      </x:c>
      <x:c r="G12" s="272" t="n">
        <x:f>G7*Planning_Assumptions!$B$13</x:f>
        <x:v>0.482112</x:v>
      </x:c>
      <x:c r="H12" s="272" t="n">
        <x:f>H7*Planning_Assumptions!$B$13</x:f>
        <x:v>0.488064</x:v>
      </x:c>
      <x:c r="I12" s="272" t="n">
        <x:f>I7*Planning_Assumptions!$B$13</x:f>
        <x:v>0.494016</x:v>
      </x:c>
      <x:c r="J12" s="272" t="n">
        <x:f>J7*Planning_Assumptions!$B$13</x:f>
        <x:v>0.50592</x:v>
      </x:c>
      <x:c r="K12" s="272" t="n">
        <x:f>K7*Planning_Assumptions!$B$13</x:f>
        <x:v>0.517824</x:v>
      </x:c>
      <x:c r="L12" s="272" t="n">
        <x:f>L7*Planning_Assumptions!$B$13</x:f>
        <x:v>0.547584</x:v>
      </x:c>
      <x:c r="M12" s="272" t="n">
        <x:f>M7*Planning_Assumptions!$B$13</x:f>
        <x:v>0.6368639999999999</x:v>
      </x:c>
      <x:c r="N12" s="272" t="n">
        <x:f>SUM(B12:M12)</x:f>
        <x:v>5.951999999999999</x:v>
      </x:c>
      <x:c r="O12" s="174" t="str">
        <x:v>Planning_Assumptions</x:v>
      </x:c>
    </x:row>
    <x:row r="13">
      <x:c r="A13" s="72" t="str">
        <x:v>R&amp;D</x:v>
      </x:c>
      <x:c r="B13" s="272" t="n">
        <x:f>B7*Planning_Assumptions!$B$14</x:f>
        <x:v>0.25929599999999997</x:v>
      </x:c>
      <x:c r="C13" s="272" t="n">
        <x:f>C7*Planning_Assumptions!$B$14</x:f>
        <x:v>0.26639999999999997</x:v>
      </x:c>
      <x:c r="D13" s="272" t="n">
        <x:f>D7*Planning_Assumptions!$B$14</x:f>
        <x:v>0.27350399999999997</x:v>
      </x:c>
      <x:c r="E13" s="272" t="n">
        <x:f>E7*Planning_Assumptions!$B$14</x:f>
        <x:v>0.277056</x:v>
      </x:c>
      <x:c r="F13" s="272" t="n">
        <x:f>F7*Planning_Assumptions!$B$14</x:f>
        <x:v>0.28416</x:v>
      </x:c>
      <x:c r="G13" s="272" t="n">
        <x:f>G7*Planning_Assumptions!$B$14</x:f>
        <x:v>0.28771199999999997</x:v>
      </x:c>
      <x:c r="H13" s="272" t="n">
        <x:f>H7*Planning_Assumptions!$B$14</x:f>
        <x:v>0.291264</x:v>
      </x:c>
      <x:c r="I13" s="272" t="n">
        <x:f>I7*Planning_Assumptions!$B$14</x:f>
        <x:v>0.294816</x:v>
      </x:c>
      <x:c r="J13" s="272" t="n">
        <x:f>J7*Planning_Assumptions!$B$14</x:f>
        <x:v>0.30192</x:v>
      </x:c>
      <x:c r="K13" s="272" t="n">
        <x:f>K7*Planning_Assumptions!$B$14</x:f>
        <x:v>0.30902399999999997</x:v>
      </x:c>
      <x:c r="L13" s="272" t="n">
        <x:f>L7*Planning_Assumptions!$B$14</x:f>
        <x:v>0.32678399999999996</x:v>
      </x:c>
      <x:c r="M13" s="272" t="n">
        <x:f>M7*Planning_Assumptions!$B$14</x:f>
        <x:v>0.38006399999999996</x:v>
      </x:c>
      <x:c r="N13" s="272" t="n">
        <x:f>SUM(B13:M13)</x:f>
        <x:v>3.5519999999999996</x:v>
      </x:c>
      <x:c r="O13" s="174" t="str">
        <x:v>Planning_Assumptions</x:v>
      </x:c>
    </x:row>
    <x:row r="14">
      <x:c r="A14" s="72" t="str">
        <x:v>G&amp;A</x:v>
      </x:c>
      <x:c r="B14" s="272" t="n">
        <x:f>B7*Planning_Assumptions!$B$15</x:f>
        <x:v>0.217248</x:v>
      </x:c>
      <x:c r="C14" s="272" t="n">
        <x:f>C7*Planning_Assumptions!$B$15</x:f>
        <x:v>0.22319999999999998</x:v>
      </x:c>
      <x:c r="D14" s="272" t="n">
        <x:f>D7*Planning_Assumptions!$B$15</x:f>
        <x:v>0.229152</x:v>
      </x:c>
      <x:c r="E14" s="272" t="n">
        <x:f>E7*Planning_Assumptions!$B$15</x:f>
        <x:v>0.232128</x:v>
      </x:c>
      <x:c r="F14" s="272" t="n">
        <x:f>F7*Planning_Assumptions!$B$15</x:f>
        <x:v>0.23808</x:v>
      </x:c>
      <x:c r="G14" s="272" t="n">
        <x:f>G7*Planning_Assumptions!$B$15</x:f>
        <x:v>0.241056</x:v>
      </x:c>
      <x:c r="H14" s="272" t="n">
        <x:f>H7*Planning_Assumptions!$B$15</x:f>
        <x:v>0.244032</x:v>
      </x:c>
      <x:c r="I14" s="272" t="n">
        <x:f>I7*Planning_Assumptions!$B$15</x:f>
        <x:v>0.247008</x:v>
      </x:c>
      <x:c r="J14" s="272" t="n">
        <x:f>J7*Planning_Assumptions!$B$15</x:f>
        <x:v>0.25296</x:v>
      </x:c>
      <x:c r="K14" s="272" t="n">
        <x:f>K7*Planning_Assumptions!$B$15</x:f>
        <x:v>0.258912</x:v>
      </x:c>
      <x:c r="L14" s="272" t="n">
        <x:f>L7*Planning_Assumptions!$B$15</x:f>
        <x:v>0.273792</x:v>
      </x:c>
      <x:c r="M14" s="272" t="n">
        <x:f>M7*Planning_Assumptions!$B$15</x:f>
        <x:v>0.31843199999999994</x:v>
      </x:c>
      <x:c r="N14" s="272" t="n">
        <x:f>SUM(B14:M14)</x:f>
        <x:v>2.9759999999999995</x:v>
      </x:c>
      <x:c r="O14" s="174" t="str">
        <x:v>Planning_Assumptions</x:v>
      </x:c>
    </x:row>
    <x:row r="15">
      <x:c r="A15" s="275" t="str">
        <x:v>Total Operating Expenses</x:v>
      </x:c>
      <x:c r="B15" s="276" t="n">
        <x:f>SUM(B12:B14)</x:f>
        <x:v>0.91104</x:v>
      </x:c>
      <x:c r="C15" s="276" t="n">
        <x:f>SUM(C12:C14)</x:f>
        <x:v>0.9359999999999998</x:v>
      </x:c>
      <x:c r="D15" s="276" t="n">
        <x:f>SUM(D12:D14)</x:f>
        <x:v>0.96096</x:v>
      </x:c>
      <x:c r="E15" s="276" t="n">
        <x:f>SUM(E12:E14)</x:f>
        <x:v>0.97344</x:v>
      </x:c>
      <x:c r="F15" s="276" t="n">
        <x:f>SUM(F12:F14)</x:f>
        <x:v>0.9984000000000002</x:v>
      </x:c>
      <x:c r="G15" s="276" t="n">
        <x:f>SUM(G12:G14)</x:f>
        <x:v>1.01088</x:v>
      </x:c>
      <x:c r="H15" s="276" t="n">
        <x:f>SUM(H12:H14)</x:f>
        <x:v>1.02336</x:v>
      </x:c>
      <x:c r="I15" s="276" t="n">
        <x:f>SUM(I12:I14)</x:f>
        <x:v>1.0358399999999999</x:v>
      </x:c>
      <x:c r="J15" s="276" t="n">
        <x:f>SUM(J12:J14)</x:f>
        <x:v>1.0608000000000002</x:v>
      </x:c>
      <x:c r="K15" s="276" t="n">
        <x:f>SUM(K12:K14)</x:f>
        <x:v>1.0857599999999998</x:v>
      </x:c>
      <x:c r="L15" s="276" t="n">
        <x:f>SUM(L12:L14)</x:f>
        <x:v>1.1481599999999998</x:v>
      </x:c>
      <x:c r="M15" s="276" t="n">
        <x:f>SUM(M12:M14)</x:f>
        <x:v>1.3353599999999997</x:v>
      </x:c>
      <x:c r="N15" s="276" t="n">
        <x:f>SUM(B15:M15)</x:f>
        <x:v>12.480000000000002</x:v>
      </x:c>
      <x:c r="O15" s="174" t="str">
        <x:v>Calculated</x:v>
      </x:c>
    </x:row>
    <x:row r="16">
      <x:c r="A16" s="273" t="str">
        <x:v>EBITDA</x:v>
      </x:c>
      <x:c r="B16" s="274" t="n">
        <x:f>B9-B15</x:f>
        <x:v>0.12614399999999992</x:v>
      </x:c>
      <x:c r="C16" s="274" t="n">
        <x:f>C9-C15</x:f>
        <x:v>0.12960000000000005</x:v>
      </x:c>
      <x:c r="D16" s="274" t="n">
        <x:f>D9-D15</x:f>
        <x:v>0.13305599999999984</x:v>
      </x:c>
      <x:c r="E16" s="274" t="n">
        <x:f>E9-E15</x:f>
        <x:v>0.13478400000000013</x:v>
      </x:c>
      <x:c r="F16" s="274" t="n">
        <x:f>F9-F15</x:f>
        <x:v>0.1382399999999997</x:v>
      </x:c>
      <x:c r="G16" s="274" t="n">
        <x:f>G9-G15</x:f>
        <x:v>0.13996799999999987</x:v>
      </x:c>
      <x:c r="H16" s="274" t="n">
        <x:f>H9-H15</x:f>
        <x:v>0.14169599999999982</x:v>
      </x:c>
      <x:c r="I16" s="274" t="n">
        <x:f>I9-I15</x:f>
        <x:v>0.14342400000000022</x:v>
      </x:c>
      <x:c r="J16" s="274" t="n">
        <x:f>J9-J15</x:f>
        <x:v>0.1468799999999999</x:v>
      </x:c>
      <x:c r="K16" s="274" t="n">
        <x:f>K9-K15</x:f>
        <x:v>0.15033600000000003</x:v>
      </x:c>
      <x:c r="L16" s="274" t="n">
        <x:f>L9-L15</x:f>
        <x:v>0.158976</x:v>
      </x:c>
      <x:c r="M16" s="274" t="n">
        <x:f>M9-M15</x:f>
        <x:v>0.18489600000000017</x:v>
      </x:c>
      <x:c r="N16" s="274" t="n">
        <x:f>SUM(B16:M16)</x:f>
        <x:v>1.7279999999999995</x:v>
      </x:c>
      <x:c r="O16" s="174" t="str">
        <x:v>Calculated</x:v>
      </x:c>
    </x:row>
    <x:row r="17">
      <x:c r="A17" s="72" t="str">
        <x:v>EBITDA Margin</x:v>
      </x:c>
      <x:c r="B17" s="74" t="n">
        <x:f>IF(B7=0,0,B16/B7)</x:f>
        <x:v>0.08999999999999994</x:v>
      </x:c>
      <x:c r="C17" s="74" t="n">
        <x:f>IF(C7=0,0,C16/C7)</x:f>
        <x:v>0.09000000000000004</x:v>
      </x:c>
      <x:c r="D17" s="74" t="n">
        <x:f>IF(D7=0,0,D16/D7)</x:f>
        <x:v>0.0899999999999999</x:v>
      </x:c>
      <x:c r="E17" s="74" t="n">
        <x:f>IF(E7=0,0,E16/E7)</x:f>
        <x:v>0.09000000000000008</x:v>
      </x:c>
      <x:c r="F17" s="74" t="n">
        <x:f>IF(F7=0,0,F16/F7)</x:f>
        <x:v>0.0899999999999998</x:v>
      </x:c>
      <x:c r="G17" s="74" t="n">
        <x:f>IF(G7=0,0,G16/G7)</x:f>
        <x:v>0.08999999999999993</x:v>
      </x:c>
      <x:c r="H17" s="74" t="n">
        <x:f>IF(H7=0,0,H16/H7)</x:f>
        <x:v>0.08999999999999989</x:v>
      </x:c>
      <x:c r="I17" s="74" t="n">
        <x:f>IF(I7=0,0,I16/I7)</x:f>
        <x:v>0.09000000000000014</x:v>
      </x:c>
      <x:c r="J17" s="74" t="n">
        <x:f>IF(J7=0,0,J16/J7)</x:f>
        <x:v>0.08999999999999993</x:v>
      </x:c>
      <x:c r="K17" s="74" t="n">
        <x:f>IF(K7=0,0,K16/K7)</x:f>
        <x:v>0.09000000000000002</x:v>
      </x:c>
      <x:c r="L17" s="74" t="n">
        <x:f>IF(L7=0,0,L16/L7)</x:f>
        <x:v>0.09000000000000001</x:v>
      </x:c>
      <x:c r="M17" s="74" t="n">
        <x:f>IF(M7=0,0,M16/M7)</x:f>
        <x:v>0.0900000000000001</x:v>
      </x:c>
      <x:c r="N17" s="74" t="n">
        <x:f>IF(N7=0,0,N16/N7)</x:f>
        <x:v>0.08999999999999997</x:v>
      </x:c>
      <x:c r="O17" s="174" t="str">
        <x:v>Calculated</x:v>
      </x:c>
    </x:row>
    <x:row r="18">
      <x:c r="A18" s="72" t="str"/>
      <x:c r="B18" s="272"/>
      <x:c r="C18" s="272"/>
      <x:c r="D18" s="272"/>
      <x:c r="E18" s="272"/>
      <x:c r="F18" s="272"/>
      <x:c r="G18" s="272"/>
      <x:c r="H18" s="272"/>
      <x:c r="I18" s="272"/>
      <x:c r="J18" s="272"/>
      <x:c r="K18" s="272"/>
      <x:c r="L18" s="272"/>
      <x:c r="M18" s="272"/>
      <x:c r="N18" s="272"/>
      <x:c r="O18" s="174"/>
    </x:row>
    <x:row r="19">
      <x:c r="A19" s="72" t="str">
        <x:v>D&amp;A</x:v>
      </x:c>
      <x:c r="B19" s="272" t="n">
        <x:f>B7*Planning_Assumptions!$B$16</x:f>
        <x:v>0.028032</x:v>
      </x:c>
      <x:c r="C19" s="272" t="n">
        <x:f>C7*Planning_Assumptions!$B$16</x:f>
        <x:v>0.0288</x:v>
      </x:c>
      <x:c r="D19" s="272" t="n">
        <x:f>D7*Planning_Assumptions!$B$16</x:f>
        <x:v>0.029568</x:v>
      </x:c>
      <x:c r="E19" s="272" t="n">
        <x:f>E7*Planning_Assumptions!$B$16</x:f>
        <x:v>0.029952000000000003</x:v>
      </x:c>
      <x:c r="F19" s="272" t="n">
        <x:f>F7*Planning_Assumptions!$B$16</x:f>
        <x:v>0.03072</x:v>
      </x:c>
      <x:c r="G19" s="272" t="n">
        <x:f>G7*Planning_Assumptions!$B$16</x:f>
        <x:v>0.031104</x:v>
      </x:c>
      <x:c r="H19" s="272" t="n">
        <x:f>H7*Planning_Assumptions!$B$16</x:f>
        <x:v>0.031488</x:v>
      </x:c>
      <x:c r="I19" s="272" t="n">
        <x:f>I7*Planning_Assumptions!$B$16</x:f>
        <x:v>0.031872000000000004</x:v>
      </x:c>
      <x:c r="J19" s="272" t="n">
        <x:f>J7*Planning_Assumptions!$B$16</x:f>
        <x:v>0.03264</x:v>
      </x:c>
      <x:c r="K19" s="272" t="n">
        <x:f>K7*Planning_Assumptions!$B$16</x:f>
        <x:v>0.033408</x:v>
      </x:c>
      <x:c r="L19" s="272" t="n">
        <x:f>L7*Planning_Assumptions!$B$16</x:f>
        <x:v>0.035328</x:v>
      </x:c>
      <x:c r="M19" s="272" t="n">
        <x:f>M7*Planning_Assumptions!$B$16</x:f>
        <x:v>0.041088</x:v>
      </x:c>
      <x:c r="N19" s="272" t="n">
        <x:f>SUM(B19:M19)</x:f>
        <x:v>0.384</x:v>
      </x:c>
      <x:c r="O19" s="174" t="str">
        <x:v>Planning_Assumptions</x:v>
      </x:c>
    </x:row>
    <x:row r="20">
      <x:c r="A20" s="275" t="str">
        <x:v>EBIT</x:v>
      </x:c>
      <x:c r="B20" s="276" t="n">
        <x:f>B16-B19</x:f>
        <x:v>0.09811199999999992</x:v>
      </x:c>
      <x:c r="C20" s="276" t="n">
        <x:f>C16-C19</x:f>
        <x:v>0.10080000000000006</x:v>
      </x:c>
      <x:c r="D20" s="276" t="n">
        <x:f>D16-D19</x:f>
        <x:v>0.10348799999999984</x:v>
      </x:c>
      <x:c r="E20" s="276" t="n">
        <x:f>E16-E19</x:f>
        <x:v>0.10483200000000012</x:v>
      </x:c>
      <x:c r="F20" s="276" t="n">
        <x:f>F16-F19</x:f>
        <x:v>0.1075199999999997</x:v>
      </x:c>
      <x:c r="G20" s="276" t="n">
        <x:f>G16-G19</x:f>
        <x:v>0.10886399999999988</x:v>
      </x:c>
      <x:c r="H20" s="276" t="n">
        <x:f>H16-H19</x:f>
        <x:v>0.11020799999999982</x:v>
      </x:c>
      <x:c r="I20" s="276" t="n">
        <x:f>I16-I19</x:f>
        <x:v>0.1115520000000002</x:v>
      </x:c>
      <x:c r="J20" s="276" t="n">
        <x:f>J16-J19</x:f>
        <x:v>0.1142399999999999</x:v>
      </x:c>
      <x:c r="K20" s="276" t="n">
        <x:f>K16-K19</x:f>
        <x:v>0.11692800000000003</x:v>
      </x:c>
      <x:c r="L20" s="276" t="n">
        <x:f>L16-L19</x:f>
        <x:v>0.12364800000000001</x:v>
      </x:c>
      <x:c r="M20" s="276" t="n">
        <x:f>M16-M19</x:f>
        <x:v>0.14380800000000016</x:v>
      </x:c>
      <x:c r="N20" s="276" t="n">
        <x:f>SUM(B20:M20)</x:f>
        <x:v>1.3439999999999996</x:v>
      </x:c>
      <x:c r="O20" s="174" t="str">
        <x:v>Calculated</x:v>
      </x:c>
    </x:row>
    <x:row r="21">
      <x:c r="A21" s="72" t="str">
        <x:v>Interest Expense</x:v>
      </x:c>
      <x:c r="B21" s="272" t="n">
        <x:f>Planning_Assumptions!$B$17/12</x:f>
        <x:v>0.02666666666666667</x:v>
      </x:c>
      <x:c r="C21" s="272" t="n">
        <x:f>Planning_Assumptions!$B$17/12</x:f>
        <x:v>0.02666666666666667</x:v>
      </x:c>
      <x:c r="D21" s="272" t="n">
        <x:f>Planning_Assumptions!$B$17/12</x:f>
        <x:v>0.02666666666666667</x:v>
      </x:c>
      <x:c r="E21" s="272" t="n">
        <x:f>Planning_Assumptions!$B$17/12</x:f>
        <x:v>0.02666666666666667</x:v>
      </x:c>
      <x:c r="F21" s="272" t="n">
        <x:f>Planning_Assumptions!$B$17/12</x:f>
        <x:v>0.02666666666666667</x:v>
      </x:c>
      <x:c r="G21" s="272" t="n">
        <x:f>Planning_Assumptions!$B$17/12</x:f>
        <x:v>0.02666666666666667</x:v>
      </x:c>
      <x:c r="H21" s="272" t="n">
        <x:f>Planning_Assumptions!$B$17/12</x:f>
        <x:v>0.02666666666666667</x:v>
      </x:c>
      <x:c r="I21" s="272" t="n">
        <x:f>Planning_Assumptions!$B$17/12</x:f>
        <x:v>0.02666666666666667</x:v>
      </x:c>
      <x:c r="J21" s="272" t="n">
        <x:f>Planning_Assumptions!$B$17/12</x:f>
        <x:v>0.02666666666666667</x:v>
      </x:c>
      <x:c r="K21" s="272" t="n">
        <x:f>Planning_Assumptions!$B$17/12</x:f>
        <x:v>0.02666666666666667</x:v>
      </x:c>
      <x:c r="L21" s="272" t="n">
        <x:f>Planning_Assumptions!$B$17/12</x:f>
        <x:v>0.02666666666666667</x:v>
      </x:c>
      <x:c r="M21" s="272" t="n">
        <x:f>Planning_Assumptions!$B$17/12</x:f>
        <x:v>0.02666666666666667</x:v>
      </x:c>
      <x:c r="N21" s="272" t="n">
        <x:f>SUM(B21:M21)</x:f>
        <x:v>0.32</x:v>
      </x:c>
      <x:c r="O21" s="174" t="str">
        <x:v>Planning_Assumptions</x:v>
      </x:c>
    </x:row>
    <x:row r="22">
      <x:c r="A22" s="275" t="str">
        <x:v>Earnings Before Tax</x:v>
      </x:c>
      <x:c r="B22" s="276" t="n">
        <x:f>B20-B21</x:f>
        <x:v>0.07144533333333325</x:v>
      </x:c>
      <x:c r="C22" s="276" t="n">
        <x:f>C20-C21</x:f>
        <x:v>0.07413333333333338</x:v>
      </x:c>
      <x:c r="D22" s="276" t="n">
        <x:f>D20-D21</x:f>
        <x:v>0.07682133333333317</x:v>
      </x:c>
      <x:c r="E22" s="276" t="n">
        <x:f>E20-E21</x:f>
        <x:v>0.07816533333333345</x:v>
      </x:c>
      <x:c r="F22" s="276" t="n">
        <x:f>F20-F21</x:f>
        <x:v>0.08085333333333303</x:v>
      </x:c>
      <x:c r="G22" s="276" t="n">
        <x:f>G20-G21</x:f>
        <x:v>0.0821973333333332</x:v>
      </x:c>
      <x:c r="H22" s="276" t="n">
        <x:f>H20-H21</x:f>
        <x:v>0.08354133333333315</x:v>
      </x:c>
      <x:c r="I22" s="276" t="n">
        <x:f>I20-I21</x:f>
        <x:v>0.08488533333333353</x:v>
      </x:c>
      <x:c r="J22" s="276" t="n">
        <x:f>J20-J21</x:f>
        <x:v>0.08757333333333323</x:v>
      </x:c>
      <x:c r="K22" s="276" t="n">
        <x:f>K20-K21</x:f>
        <x:v>0.09026133333333336</x:v>
      </x:c>
      <x:c r="L22" s="276" t="n">
        <x:f>L20-L21</x:f>
        <x:v>0.09698133333333334</x:v>
      </x:c>
      <x:c r="M22" s="276" t="n">
        <x:f>M20-M21</x:f>
        <x:v>0.11714133333333349</x:v>
      </x:c>
      <x:c r="N22" s="276" t="n">
        <x:f>SUM(B22:M22)</x:f>
        <x:v>1.0239999999999996</x:v>
      </x:c>
      <x:c r="O22" s="174" t="str">
        <x:v>Calculated</x:v>
      </x:c>
    </x:row>
    <x:row r="23">
      <x:c r="A23" s="72" t="str">
        <x:v>Taxes</x:v>
      </x:c>
      <x:c r="B23" s="272" t="n">
        <x:f>MAX(B22,0)*Planning_Assumptions!$B$18</x:f>
        <x:v>0.017861333333333312</x:v>
      </x:c>
      <x:c r="C23" s="272" t="n">
        <x:f>MAX(C22,0)*Planning_Assumptions!$B$18</x:f>
        <x:v>0.018533333333333346</x:v>
      </x:c>
      <x:c r="D23" s="272" t="n">
        <x:f>MAX(D22,0)*Planning_Assumptions!$B$18</x:f>
        <x:v>0.019205333333333293</x:v>
      </x:c>
      <x:c r="E23" s="272" t="n">
        <x:f>MAX(E22,0)*Planning_Assumptions!$B$18</x:f>
        <x:v>0.019541333333333362</x:v>
      </x:c>
      <x:c r="F23" s="272" t="n">
        <x:f>MAX(F22,0)*Planning_Assumptions!$B$18</x:f>
        <x:v>0.020213333333333257</x:v>
      </x:c>
      <x:c r="G23" s="272" t="n">
        <x:f>MAX(G22,0)*Planning_Assumptions!$B$18</x:f>
        <x:v>0.0205493333333333</x:v>
      </x:c>
      <x:c r="H23" s="272" t="n">
        <x:f>MAX(H22,0)*Planning_Assumptions!$B$18</x:f>
        <x:v>0.020885333333333287</x:v>
      </x:c>
      <x:c r="I23" s="272" t="n">
        <x:f>MAX(I22,0)*Planning_Assumptions!$B$18</x:f>
        <x:v>0.021221333333333384</x:v>
      </x:c>
      <x:c r="J23" s="272" t="n">
        <x:f>MAX(J22,0)*Planning_Assumptions!$B$18</x:f>
        <x:v>0.021893333333333306</x:v>
      </x:c>
      <x:c r="K23" s="272" t="n">
        <x:f>MAX(K22,0)*Planning_Assumptions!$B$18</x:f>
        <x:v>0.02256533333333334</x:v>
      </x:c>
      <x:c r="L23" s="272" t="n">
        <x:f>MAX(L22,0)*Planning_Assumptions!$B$18</x:f>
        <x:v>0.024245333333333334</x:v>
      </x:c>
      <x:c r="M23" s="272" t="n">
        <x:f>MAX(M22,0)*Planning_Assumptions!$B$18</x:f>
        <x:v>0.02928533333333337</x:v>
      </x:c>
      <x:c r="N23" s="272" t="n">
        <x:f>SUM(B23:M23)</x:f>
        <x:v>0.2559999999999999</x:v>
      </x:c>
      <x:c r="O23" s="174" t="str">
        <x:v>Planning_Assumptions</x:v>
      </x:c>
    </x:row>
    <x:row r="24">
      <x:c r="A24" s="275" t="str">
        <x:v>Net Income</x:v>
      </x:c>
      <x:c r="B24" s="276" t="n">
        <x:f>B22-B23</x:f>
        <x:v>0.05358399999999994</x:v>
      </x:c>
      <x:c r="C24" s="276" t="n">
        <x:f>C22-C23</x:f>
        <x:v>0.05560000000000004</x:v>
      </x:c>
      <x:c r="D24" s="276" t="n">
        <x:f>D22-D23</x:f>
        <x:v>0.057615999999999876</x:v>
      </x:c>
      <x:c r="E24" s="276" t="n">
        <x:f>E22-E23</x:f>
        <x:v>0.058624000000000086</x:v>
      </x:c>
      <x:c r="F24" s="276" t="n">
        <x:f>F22-F23</x:f>
        <x:v>0.06063999999999977</x:v>
      </x:c>
      <x:c r="G24" s="276" t="n">
        <x:f>G22-G23</x:f>
        <x:v>0.061647999999999904</x:v>
      </x:c>
      <x:c r="H24" s="276" t="n">
        <x:f>H22-H23</x:f>
        <x:v>0.06265599999999986</x:v>
      </x:c>
      <x:c r="I24" s="276" t="n">
        <x:f>I22-I23</x:f>
        <x:v>0.06366400000000015</x:v>
      </x:c>
      <x:c r="J24" s="276" t="n">
        <x:f>J22-J23</x:f>
        <x:v>0.06567999999999992</x:v>
      </x:c>
      <x:c r="K24" s="276" t="n">
        <x:f>K22-K23</x:f>
        <x:v>0.06769600000000002</x:v>
      </x:c>
      <x:c r="L24" s="276" t="n">
        <x:f>L22-L23</x:f>
        <x:v>0.072736</x:v>
      </x:c>
      <x:c r="M24" s="276" t="n">
        <x:f>M22-M23</x:f>
        <x:v>0.08785600000000011</x:v>
      </x:c>
      <x:c r="N24" s="276" t="n">
        <x:f>SUM(B24:M24)</x:f>
        <x:v>0.7679999999999998</x:v>
      </x:c>
      <x:c r="O24" s="174" t="str">
        <x:v>Calculated</x:v>
      </x:c>
    </x:row>
  </x:sheetData>
  <x:mergeCells>
    <x:mergeCell ref="A1:O1"/>
    <x:mergeCell ref="A2:O2"/>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12" hidden="0" customWidth="1"/>
    <x:col min="3" max="3" width="30"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24" customHeight="1">
      <x:c r="A1" s="243" t="str">
        <x:v>FY2026 Rolling Forecast | Actuals Through Close + Automated Reforecast | v1.5.1</x:v>
      </x:c>
      <x:c r="B1" s="243"/>
      <x:c r="C1" s="243"/>
      <x:c r="D1" s="243"/>
      <x:c r="E1" s="243"/>
      <x:c r="F1" s="243"/>
      <x:c r="G1" s="243"/>
      <x:c r="H1" s="243"/>
      <x:c r="I1" s="243"/>
      <x:c r="J1" s="243"/>
      <x:c r="K1" s="243"/>
      <x:c r="L1" s="243"/>
      <x:c r="M1" s="243"/>
      <x:c r="N1" s="243"/>
      <x:c r="O1" s="243"/>
      <x:c r="P1" s="243"/>
      <x:c r="Q1" s="243"/>
    </x:row>
    <x:row r="2">
      <x:c r="A2" s="179" t="str">
        <x:v>Closed months pull staged GL actuals. Open months reforecast automatically from YTD performance and cost/margin run rates.</x:v>
      </x:c>
      <x:c r="B2" s="179"/>
      <x:c r="C2" s="179"/>
      <x:c r="D2" s="179"/>
      <x:c r="E2" s="179"/>
      <x:c r="F2" s="179"/>
      <x:c r="G2" s="179"/>
      <x:c r="H2" s="179"/>
      <x:c r="I2" s="179"/>
      <x:c r="J2" s="179"/>
      <x:c r="K2" s="179"/>
      <x:c r="L2" s="179"/>
      <x:c r="M2" s="179"/>
      <x:c r="N2" s="179"/>
      <x:c r="O2" s="179"/>
      <x:c r="P2" s="179"/>
      <x:c r="Q2" s="179"/>
    </x:row>
    <x:row r="3">
      <x:c r="A3" s="174"/>
      <x:c r="B3" s="174"/>
      <x:c r="C3" s="174"/>
      <x:c r="D3" s="174"/>
      <x:c r="E3" s="174"/>
      <x:c r="F3" s="174"/>
      <x:c r="G3" s="174"/>
      <x:c r="H3" s="174"/>
      <x:c r="I3" s="174"/>
      <x:c r="J3" s="174"/>
      <x:c r="K3" s="174"/>
      <x:c r="L3" s="174"/>
      <x:c r="M3" s="174"/>
      <x:c r="N3" s="174"/>
      <x:c r="O3" s="174"/>
      <x:c r="P3" s="174"/>
      <x:c r="Q3" s="174"/>
    </x:row>
    <x:row r="4">
      <x:c r="A4" s="270" t="str">
        <x:v>Metric</x:v>
      </x:c>
      <x:c r="B4" s="271" t="n">
        <x:v>46023</x:v>
      </x:c>
      <x:c r="C4" s="271" t="n">
        <x:v>46054</x:v>
      </x:c>
      <x:c r="D4" s="271" t="n">
        <x:v>46082</x:v>
      </x:c>
      <x:c r="E4" s="271" t="n">
        <x:v>46113</x:v>
      </x:c>
      <x:c r="F4" s="271" t="n">
        <x:v>46143</x:v>
      </x:c>
      <x:c r="G4" s="271" t="n">
        <x:v>46174</x:v>
      </x:c>
      <x:c r="H4" s="271" t="n">
        <x:v>46204</x:v>
      </x:c>
      <x:c r="I4" s="271" t="n">
        <x:v>46235</x:v>
      </x:c>
      <x:c r="J4" s="271" t="n">
        <x:v>46266</x:v>
      </x:c>
      <x:c r="K4" s="271" t="n">
        <x:v>46296</x:v>
      </x:c>
      <x:c r="L4" s="271" t="n">
        <x:v>46327</x:v>
      </x:c>
      <x:c r="M4" s="271" t="n">
        <x:v>46357</x:v>
      </x:c>
      <x:c r="N4" s="270" t="str">
        <x:v>FY Rolling Forecast</x:v>
      </x:c>
      <x:c r="O4" s="270" t="str">
        <x:v>FY Budget</x:v>
      </x:c>
      <x:c r="P4" s="270" t="str">
        <x:v>$ Variance</x:v>
      </x:c>
      <x:c r="Q4" s="270" t="str">
        <x:v>% Variance</x:v>
      </x:c>
    </x:row>
    <x:row r="5">
      <x:c r="A5" s="174" t="str">
        <x:v>Period Status</x:v>
      </x:c>
      <x:c r="B5" s="395" t="str">
        <x:f>IF(B$4&lt;=Planning_Assumptions!$B$6,"Actual","Forecast")</x:f>
        <x:v>Actual</x:v>
      </x:c>
      <x:c r="C5" s="395" t="str">
        <x:f>IF(C$4&lt;=Planning_Assumptions!$B$6,"Actual","Forecast")</x:f>
        <x:v>Actual</x:v>
      </x:c>
      <x:c r="D5" s="395" t="str">
        <x:f>IF(D$4&lt;=Planning_Assumptions!$B$6,"Actual","Forecast")</x:f>
        <x:v>Actual</x:v>
      </x:c>
      <x:c r="E5" s="395" t="str">
        <x:f>IF(E$4&lt;=Planning_Assumptions!$B$6,"Actual","Forecast")</x:f>
        <x:v>Actual</x:v>
      </x:c>
      <x:c r="F5" s="395" t="str">
        <x:f>IF(F$4&lt;=Planning_Assumptions!$B$6,"Actual","Forecast")</x:f>
        <x:v>Actual</x:v>
      </x:c>
      <x:c r="G5" s="395" t="str">
        <x:f>IF(G$4&lt;=Planning_Assumptions!$B$6,"Actual","Forecast")</x:f>
        <x:v>Actual</x:v>
      </x:c>
      <x:c r="H5" s="395" t="str">
        <x:f>IF(H$4&lt;=Planning_Assumptions!$B$6,"Actual","Forecast")</x:f>
        <x:v>Actual</x:v>
      </x:c>
      <x:c r="I5" s="395" t="str">
        <x:f>IF(I$4&lt;=Planning_Assumptions!$B$6,"Actual","Forecast")</x:f>
        <x:v>Actual</x:v>
      </x:c>
      <x:c r="J5" s="395" t="str">
        <x:f>IF(J$4&lt;=Planning_Assumptions!$B$6,"Actual","Forecast")</x:f>
        <x:v>Forecast</x:v>
      </x:c>
      <x:c r="K5" s="395" t="str">
        <x:f>IF(K$4&lt;=Planning_Assumptions!$B$6,"Actual","Forecast")</x:f>
        <x:v>Forecast</x:v>
      </x:c>
      <x:c r="L5" s="395" t="str">
        <x:f>IF(L$4&lt;=Planning_Assumptions!$B$6,"Actual","Forecast")</x:f>
        <x:v>Forecast</x:v>
      </x:c>
      <x:c r="M5" s="395" t="str">
        <x:f>IF(M$4&lt;=Planning_Assumptions!$B$6,"Actual","Forecast")</x:f>
        <x:v>Forecast</x:v>
      </x:c>
      <x:c r="N5" s="174"/>
      <x:c r="O5" s="174"/>
      <x:c r="P5" s="174"/>
      <x:c r="Q5" s="174"/>
    </x:row>
    <x:row r="6">
      <x:c r="A6" s="174"/>
      <x:c r="B6" s="174"/>
      <x:c r="C6" s="174"/>
      <x:c r="D6" s="174"/>
      <x:c r="E6" s="174"/>
      <x:c r="F6" s="174"/>
      <x:c r="G6" s="174"/>
      <x:c r="H6" s="174"/>
      <x:c r="I6" s="174"/>
      <x:c r="J6" s="174"/>
      <x:c r="K6" s="174"/>
      <x:c r="L6" s="174"/>
      <x:c r="M6" s="174"/>
      <x:c r="N6" s="174"/>
      <x:c r="O6" s="174"/>
      <x:c r="P6" s="174"/>
      <x:c r="Q6" s="174"/>
    </x:row>
    <x:row r="7">
      <x:c r="A7" s="174" t="str">
        <x:v>Revenue</x:v>
      </x:c>
      <x:c r="B7" s="199" t="n">
        <x:f>IF(B$5="Actual",Actuals_Staging!D13,Budget_2026!B7*((SUMIF($B$5:$M$5,"Actual",$B$7:$M$7)/SUMIF($B$5:$M$5,"Actual",Budget_2026!$B$7:$M$7))*Planning_Assumptions!$B$21))</x:f>
        <x:v>1.42</x:v>
      </x:c>
      <x:c r="C7" s="199" t="n">
        <x:f>IF(C$5="Actual",Actuals_Staging!E13,Budget_2026!C7*((SUMIF($B$5:$M$5,"Actual",$B$7:$M$7)/SUMIF($B$5:$M$5,"Actual",Budget_2026!$B$7:$M$7))*Planning_Assumptions!$B$21))</x:f>
        <x:v>1.46</x:v>
      </x:c>
      <x:c r="D7" s="199" t="n">
        <x:f>IF(D$5="Actual",Actuals_Staging!F13,Budget_2026!D7*((SUMIF($B$5:$M$5,"Actual",$B$7:$M$7)/SUMIF($B$5:$M$5,"Actual",Budget_2026!$B$7:$M$7))*Planning_Assumptions!$B$21))</x:f>
        <x:v>1.5</x:v>
      </x:c>
      <x:c r="E7" s="199" t="n">
        <x:f>IF(E$5="Actual",Actuals_Staging!G13,Budget_2026!E7*((SUMIF($B$5:$M$5,"Actual",$B$7:$M$7)/SUMIF($B$5:$M$5,"Actual",Budget_2026!$B$7:$M$7))*Planning_Assumptions!$B$21))</x:f>
        <x:v>1.54</x:v>
      </x:c>
      <x:c r="F7" s="199" t="n">
        <x:f>IF(F$5="Actual",Actuals_Staging!H13,Budget_2026!F7*((SUMIF($B$5:$M$5,"Actual",$B$7:$M$7)/SUMIF($B$5:$M$5,"Actual",Budget_2026!$B$7:$M$7))*Planning_Assumptions!$B$21))</x:f>
        <x:v>1.58</x:v>
      </x:c>
      <x:c r="G7" s="199" t="n">
        <x:f>IF(G$5="Actual",Actuals_Staging!I13,Budget_2026!G7*((SUMIF($B$5:$M$5,"Actual",$B$7:$M$7)/SUMIF($B$5:$M$5,"Actual",Budget_2026!$B$7:$M$7))*Planning_Assumptions!$B$21))</x:f>
        <x:v>1.62</x:v>
      </x:c>
      <x:c r="H7" s="199" t="n">
        <x:f>IF(H$5="Actual",Actuals_Staging!J13,Budget_2026!H7*((SUMIF($B$5:$M$5,"Actual",$B$7:$M$7)/SUMIF($B$5:$M$5,"Actual",Budget_2026!$B$7:$M$7))*Planning_Assumptions!$B$21))</x:f>
        <x:v>1.66</x:v>
      </x:c>
      <x:c r="I7" s="199" t="n">
        <x:f>IF(I$5="Actual",Actuals_Staging!K13,Budget_2026!I7*((SUMIF($B$5:$M$5,"Actual",$B$7:$M$7)/SUMIF($B$5:$M$5,"Actual",Budget_2026!$B$7:$M$7))*Planning_Assumptions!$B$21))</x:f>
        <x:v>1.7</x:v>
      </x:c>
      <x:c r="J7" s="272" t="n">
        <x:f>IF(J$5="Actual",Actuals_Staging!L13,Budget_2026!J7*((SUMIF($B$5:$M$5,"Actual",$B$7:$M$7)/SUMIF($B$5:$M$5,"Actual",Budget_2026!$B$7:$M$7))*Planning_Assumptions!$B$21))</x:f>
        <x:v>1.6864864864864866</x:v>
      </x:c>
      <x:c r="K7" s="272" t="n">
        <x:f>IF(K$5="Actual",Actuals_Staging!M13,Budget_2026!K7*((SUMIF($B$5:$M$5,"Actual",$B$7:$M$7)/SUMIF($B$5:$M$5,"Actual",Budget_2026!$B$7:$M$7))*Planning_Assumptions!$B$21))</x:f>
        <x:v>1.726168521462639</x:v>
      </x:c>
      <x:c r="L7" s="272" t="n">
        <x:f>IF(L$5="Actual",Actuals_Staging!N13,Budget_2026!L7*((SUMIF($B$5:$M$5,"Actual",$B$7:$M$7)/SUMIF($B$5:$M$5,"Actual",Budget_2026!$B$7:$M$7))*Planning_Assumptions!$B$21))</x:f>
        <x:v>1.8253736089030206</x:v>
      </x:c>
      <x:c r="M7" s="272" t="n">
        <x:f>IF(M$5="Actual",Actuals_Staging!O13,Budget_2026!M7*((SUMIF($B$5:$M$5,"Actual",$B$7:$M$7)/SUMIF($B$5:$M$5,"Actual",Budget_2026!$B$7:$M$7))*Planning_Assumptions!$B$21))</x:f>
        <x:v>2.122988871224165</x:v>
      </x:c>
      <x:c r="N7" s="272" t="n">
        <x:f>SUM(B7:M7)</x:f>
        <x:v>19.841017488076314</x:v>
      </x:c>
      <x:c r="O7" s="272" t="n">
        <x:f>Budget_2026!N7</x:f>
        <x:v>19.200000000000003</x:v>
      </x:c>
      <x:c r="P7" s="272" t="n">
        <x:f>N7-O7</x:f>
        <x:v>0.6410174880763115</x:v>
      </x:c>
      <x:c r="Q7" s="74" t="n">
        <x:f>IF(O7=0,0,P7/O7)</x:f>
        <x:v>0.03338632750397456</x:v>
      </x:c>
    </x:row>
    <x:row r="8">
      <x:c r="A8" s="174" t="str">
        <x:v>COGS</x:v>
      </x:c>
      <x:c r="B8" s="199" t="n">
        <x:f>IF(B$5="Actual",Actuals_Staging!D14,B7*(1-((SUMIF($B$5:$M$5,"Actual",$B$9:$M$9)/SUMIF($B$5:$M$5,"Actual",$B$7:$M$7))+Planning_Assumptions!$B$22)))</x:f>
        <x:v>0.355</x:v>
      </x:c>
      <x:c r="C8" s="199" t="n">
        <x:f>IF(C$5="Actual",Actuals_Staging!E14,C7*(1-((SUMIF($B$5:$M$5,"Actual",$B$9:$M$9)/SUMIF($B$5:$M$5,"Actual",$B$7:$M$7))+Planning_Assumptions!$B$22)))</x:f>
        <x:v>0.365</x:v>
      </x:c>
      <x:c r="D8" s="199" t="n">
        <x:f>IF(D$5="Actual",Actuals_Staging!F14,D7*(1-((SUMIF($B$5:$M$5,"Actual",$B$9:$M$9)/SUMIF($B$5:$M$5,"Actual",$B$7:$M$7))+Planning_Assumptions!$B$22)))</x:f>
        <x:v>0.375</x:v>
      </x:c>
      <x:c r="E8" s="199" t="n">
        <x:f>IF(E$5="Actual",Actuals_Staging!G14,E7*(1-((SUMIF($B$5:$M$5,"Actual",$B$9:$M$9)/SUMIF($B$5:$M$5,"Actual",$B$7:$M$7))+Planning_Assumptions!$B$22)))</x:f>
        <x:v>0.385</x:v>
      </x:c>
      <x:c r="F8" s="199" t="n">
        <x:f>IF(F$5="Actual",Actuals_Staging!H14,F7*(1-((SUMIF($B$5:$M$5,"Actual",$B$9:$M$9)/SUMIF($B$5:$M$5,"Actual",$B$7:$M$7))+Planning_Assumptions!$B$22)))</x:f>
        <x:v>0.395</x:v>
      </x:c>
      <x:c r="G8" s="199" t="n">
        <x:f>IF(G$5="Actual",Actuals_Staging!I14,G7*(1-((SUMIF($B$5:$M$5,"Actual",$B$9:$M$9)/SUMIF($B$5:$M$5,"Actual",$B$7:$M$7))+Planning_Assumptions!$B$22)))</x:f>
        <x:v>0.405</x:v>
      </x:c>
      <x:c r="H8" s="199" t="n">
        <x:f>IF(H$5="Actual",Actuals_Staging!J14,H7*(1-((SUMIF($B$5:$M$5,"Actual",$B$9:$M$9)/SUMIF($B$5:$M$5,"Actual",$B$7:$M$7))+Planning_Assumptions!$B$22)))</x:f>
        <x:v>0.415</x:v>
      </x:c>
      <x:c r="I8" s="199" t="n">
        <x:f>IF(I$5="Actual",Actuals_Staging!K14,I7*(1-((SUMIF($B$5:$M$5,"Actual",$B$9:$M$9)/SUMIF($B$5:$M$5,"Actual",$B$7:$M$7))+Planning_Assumptions!$B$22)))</x:f>
        <x:v>0.425</x:v>
      </x:c>
      <x:c r="J8" s="272" t="n">
        <x:f>IF(J$5="Actual",Actuals_Staging!L14,J7*(1-((SUMIF($B$5:$M$5,"Actual",$B$9:$M$9)/SUMIF($B$5:$M$5,"Actual",$B$7:$M$7))+Planning_Assumptions!$B$22)))</x:f>
        <x:v>0.4131891891891894</x:v>
      </x:c>
      <x:c r="K8" s="272" t="n">
        <x:f>IF(K$5="Actual",Actuals_Staging!M14,K7*(1-((SUMIF($B$5:$M$5,"Actual",$B$9:$M$9)/SUMIF($B$5:$M$5,"Actual",$B$7:$M$7))+Planning_Assumptions!$B$22)))</x:f>
        <x:v>0.42291128775834674</x:v>
      </x:c>
      <x:c r="L8" s="272" t="n">
        <x:f>IF(L$5="Actual",Actuals_Staging!N14,L7*(1-((SUMIF($B$5:$M$5,"Actual",$B$9:$M$9)/SUMIF($B$5:$M$5,"Actual",$B$7:$M$7))+Planning_Assumptions!$B$22)))</x:f>
        <x:v>0.44721653418124024</x:v>
      </x:c>
      <x:c r="M8" s="272" t="n">
        <x:f>IF(M$5="Actual",Actuals_Staging!O14,M7*(1-((SUMIF($B$5:$M$5,"Actual",$B$9:$M$9)/SUMIF($B$5:$M$5,"Actual",$B$7:$M$7))+Planning_Assumptions!$B$22)))</x:f>
        <x:v>0.5201322734499206</x:v>
      </x:c>
      <x:c r="N8" s="272" t="n">
        <x:f>SUM(B8:M8)</x:f>
        <x:v>4.923449284578697</x:v>
      </x:c>
      <x:c r="O8" s="272" t="n">
        <x:f>Budget_2026!N8</x:f>
        <x:v>4.991999999999999</x:v>
      </x:c>
      <x:c r="P8" s="272" t="n">
        <x:f>N8-O8</x:f>
        <x:v>-0.06855071542130187</x:v>
      </x:c>
      <x:c r="Q8" s="74" t="n">
        <x:f>IF(O8=0,0,P8/O8)</x:f>
        <x:v>-0.013732114467408229</x:v>
      </x:c>
    </x:row>
    <x:row r="9">
      <x:c r="A9" s="282" t="str">
        <x:v>Gross Profit</x:v>
      </x:c>
      <x:c r="B9" s="276" t="n">
        <x:f>B7-B8</x:f>
        <x:v>1.065</x:v>
      </x:c>
      <x:c r="C9" s="276" t="n">
        <x:f>C7-C8</x:f>
        <x:v>1.095</x:v>
      </x:c>
      <x:c r="D9" s="276" t="n">
        <x:f>D7-D8</x:f>
        <x:v>1.125</x:v>
      </x:c>
      <x:c r="E9" s="276" t="n">
        <x:f>E7-E8</x:f>
        <x:v>1.155</x:v>
      </x:c>
      <x:c r="F9" s="276" t="n">
        <x:f>F7-F8</x:f>
        <x:v>1.185</x:v>
      </x:c>
      <x:c r="G9" s="276" t="n">
        <x:f>G7-G8</x:f>
        <x:v>1.215</x:v>
      </x:c>
      <x:c r="H9" s="276" t="n">
        <x:f>H7-H8</x:f>
        <x:v>1.2449999999999999</x:v>
      </x:c>
      <x:c r="I9" s="276" t="n">
        <x:f>I7-I8</x:f>
        <x:v>1.275</x:v>
      </x:c>
      <x:c r="J9" s="276" t="n">
        <x:f>J7-J8</x:f>
        <x:v>1.2732972972972971</x:v>
      </x:c>
      <x:c r="K9" s="276" t="n">
        <x:f>K7-K8</x:f>
        <x:v>1.3032572337042923</x:v>
      </x:c>
      <x:c r="L9" s="276" t="n">
        <x:f>L7-L8</x:f>
        <x:v>1.3781570747217804</x:v>
      </x:c>
      <x:c r="M9" s="276" t="n">
        <x:f>M7-M8</x:f>
        <x:v>1.6028565977742444</x:v>
      </x:c>
      <x:c r="N9" s="276" t="n">
        <x:f>SUM(B9:M9)</x:f>
        <x:v>14.917568203497613</x:v>
      </x:c>
      <x:c r="O9" s="276" t="n">
        <x:f>Budget_2026!N9</x:f>
        <x:v>14.207999999999998</x:v>
      </x:c>
      <x:c r="P9" s="276" t="n">
        <x:f>N9-O9</x:f>
        <x:v>0.7095682034976143</x:v>
      </x:c>
      <x:c r="Q9" s="288" t="n">
        <x:f>IF(O9=0,0,P9/O9)</x:f>
        <x:v>0.0499414557641902</x:v>
      </x:c>
    </x:row>
    <x:row r="10">
      <x:c r="A10" s="174" t="str">
        <x:v>Gross Margin</x:v>
      </x:c>
      <x:c r="B10" s="74" t="n">
        <x:f>IF(B7=0,0,B9/B7)</x:f>
        <x:v>0.75</x:v>
      </x:c>
      <x:c r="C10" s="74" t="n">
        <x:f>IF(C7=0,0,C9/C7)</x:f>
        <x:v>0.75</x:v>
      </x:c>
      <x:c r="D10" s="74" t="n">
        <x:f>IF(D7=0,0,D9/D7)</x:f>
        <x:v>0.75</x:v>
      </x:c>
      <x:c r="E10" s="74" t="n">
        <x:f>IF(E7=0,0,E9/E7)</x:f>
        <x:v>0.75</x:v>
      </x:c>
      <x:c r="F10" s="74" t="n">
        <x:f>IF(F7=0,0,F9/F7)</x:f>
        <x:v>0.75</x:v>
      </x:c>
      <x:c r="G10" s="74" t="n">
        <x:f>IF(G7=0,0,G9/G7)</x:f>
        <x:v>0.75</x:v>
      </x:c>
      <x:c r="H10" s="74" t="n">
        <x:f>IF(H7=0,0,H9/H7)</x:f>
        <x:v>0.75</x:v>
      </x:c>
      <x:c r="I10" s="74" t="n">
        <x:f>IF(I7=0,0,I9/I7)</x:f>
        <x:v>0.75</x:v>
      </x:c>
      <x:c r="J10" s="74" t="n">
        <x:f>IF(J7=0,0,J9/J7)</x:f>
        <x:v>0.7549999999999999</x:v>
      </x:c>
      <x:c r="K10" s="74" t="n">
        <x:f>IF(K7=0,0,K9/K7)</x:f>
        <x:v>0.7549999999999999</x:v>
      </x:c>
      <x:c r="L10" s="74" t="n">
        <x:f>IF(L7=0,0,L9/L7)</x:f>
        <x:v>0.7549999999999999</x:v>
      </x:c>
      <x:c r="M10" s="74" t="n">
        <x:f>IF(M7=0,0,M9/M7)</x:f>
        <x:v>0.7549999999999999</x:v>
      </x:c>
      <x:c r="N10" s="74" t="n">
        <x:f>IF(N7=0,0,N9/N7)</x:f>
        <x:v>0.7518549999999997</x:v>
      </x:c>
      <x:c r="O10" s="74" t="n">
        <x:f>Budget_2026!N10</x:f>
        <x:v>0.7399999999999998</x:v>
      </x:c>
      <x:c r="P10" s="74" t="n">
        <x:f>N10-O10</x:f>
        <x:v>0.011854999999999949</x:v>
      </x:c>
      <x:c r="Q10" s="74" t="n">
        <x:f>P10</x:f>
        <x:v>0.011854999999999949</x:v>
      </x:c>
    </x:row>
    <x:row r="11">
      <x:c r="A11" s="174"/>
      <x:c r="B11" s="199"/>
      <x:c r="C11" s="199"/>
      <x:c r="D11" s="199"/>
      <x:c r="E11" s="199"/>
      <x:c r="F11" s="199"/>
      <x:c r="G11" s="199"/>
      <x:c r="H11" s="199"/>
      <x:c r="I11" s="199"/>
      <x:c r="J11" s="272"/>
      <x:c r="K11" s="272"/>
      <x:c r="L11" s="272"/>
      <x:c r="M11" s="272"/>
      <x:c r="N11" s="272"/>
      <x:c r="O11" s="272"/>
      <x:c r="P11" s="272"/>
      <x:c r="Q11" s="74"/>
    </x:row>
    <x:row r="12">
      <x:c r="A12" s="174" t="str">
        <x:v>Sales &amp; Marketing</x:v>
      </x:c>
      <x:c r="B12" s="199" t="n">
        <x:f>IF(B$5="Actual",Actuals_Staging!D15,B7*((SUMIF($B$5:$M$5,"Actual",$B$12:$M$12)/SUMIF($B$5:$M$5,"Actual",$B$7:$M$7))+Planning_Assumptions!$B$23))</x:f>
        <x:v>0.426</x:v>
      </x:c>
      <x:c r="C12" s="199" t="n">
        <x:f>IF(C$5="Actual",Actuals_Staging!E15,C7*((SUMIF($B$5:$M$5,"Actual",$B$12:$M$12)/SUMIF($B$5:$M$5,"Actual",$B$7:$M$7))+Planning_Assumptions!$B$23))</x:f>
        <x:v>0.438</x:v>
      </x:c>
      <x:c r="D12" s="199" t="n">
        <x:f>IF(D$5="Actual",Actuals_Staging!F15,D7*((SUMIF($B$5:$M$5,"Actual",$B$12:$M$12)/SUMIF($B$5:$M$5,"Actual",$B$7:$M$7))+Planning_Assumptions!$B$23))</x:f>
        <x:v>0.45</x:v>
      </x:c>
      <x:c r="E12" s="199" t="n">
        <x:f>IF(E$5="Actual",Actuals_Staging!G15,E7*((SUMIF($B$5:$M$5,"Actual",$B$12:$M$12)/SUMIF($B$5:$M$5,"Actual",$B$7:$M$7))+Planning_Assumptions!$B$23))</x:f>
        <x:v>0.462</x:v>
      </x:c>
      <x:c r="F12" s="199" t="n">
        <x:f>IF(F$5="Actual",Actuals_Staging!H15,F7*((SUMIF($B$5:$M$5,"Actual",$B$12:$M$12)/SUMIF($B$5:$M$5,"Actual",$B$7:$M$7))+Planning_Assumptions!$B$23))</x:f>
        <x:v>0.474</x:v>
      </x:c>
      <x:c r="G12" s="199" t="n">
        <x:f>IF(G$5="Actual",Actuals_Staging!I15,G7*((SUMIF($B$5:$M$5,"Actual",$B$12:$M$12)/SUMIF($B$5:$M$5,"Actual",$B$7:$M$7))+Planning_Assumptions!$B$23))</x:f>
        <x:v>0.486</x:v>
      </x:c>
      <x:c r="H12" s="199" t="n">
        <x:f>IF(H$5="Actual",Actuals_Staging!J15,H7*((SUMIF($B$5:$M$5,"Actual",$B$12:$M$12)/SUMIF($B$5:$M$5,"Actual",$B$7:$M$7))+Planning_Assumptions!$B$23))</x:f>
        <x:v>0.498</x:v>
      </x:c>
      <x:c r="I12" s="199" t="n">
        <x:f>IF(I$5="Actual",Actuals_Staging!K15,I7*((SUMIF($B$5:$M$5,"Actual",$B$12:$M$12)/SUMIF($B$5:$M$5,"Actual",$B$7:$M$7))+Planning_Assumptions!$B$23))</x:f>
        <x:v>0.51</x:v>
      </x:c>
      <x:c r="J12" s="272" t="n">
        <x:f>IF(J$5="Actual",Actuals_Staging!L15,J7*((SUMIF($B$5:$M$5,"Actual",$B$12:$M$12)/SUMIF($B$5:$M$5,"Actual",$B$7:$M$7))+Planning_Assumptions!$B$23))</x:f>
        <x:v>0.49751351351351353</x:v>
      </x:c>
      <x:c r="K12" s="272" t="n">
        <x:f>IF(K$5="Actual",Actuals_Staging!M15,K7*((SUMIF($B$5:$M$5,"Actual",$B$12:$M$12)/SUMIF($B$5:$M$5,"Actual",$B$7:$M$7))+Planning_Assumptions!$B$23))</x:f>
        <x:v>0.5092197138314785</x:v>
      </x:c>
      <x:c r="L12" s="272" t="n">
        <x:f>IF(L$5="Actual",Actuals_Staging!N15,L7*((SUMIF($B$5:$M$5,"Actual",$B$12:$M$12)/SUMIF($B$5:$M$5,"Actual",$B$7:$M$7))+Planning_Assumptions!$B$23))</x:f>
        <x:v>0.5384852146263911</x:v>
      </x:c>
      <x:c r="M12" s="272" t="n">
        <x:f>IF(M$5="Actual",Actuals_Staging!O15,M7*((SUMIF($B$5:$M$5,"Actual",$B$12:$M$12)/SUMIF($B$5:$M$5,"Actual",$B$7:$M$7))+Planning_Assumptions!$B$23))</x:f>
        <x:v>0.6262817170111287</x:v>
      </x:c>
      <x:c r="N12" s="272" t="n">
        <x:f>SUM(B12:M12)</x:f>
        <x:v>5.9155001589825105</x:v>
      </x:c>
      <x:c r="O12" s="272" t="n">
        <x:f>Budget_2026!N12</x:f>
        <x:v>5.951999999999999</x:v>
      </x:c>
      <x:c r="P12" s="272" t="n">
        <x:f>N12-O12</x:f>
        <x:v>-0.0364998410174886</x:v>
      </x:c>
      <x:c r="Q12" s="74" t="n">
        <x:f>IF(O12=0,0,P12/O12)</x:f>
        <x:v>-0.006132365762346876</x:v>
      </x:c>
    </x:row>
    <x:row r="13">
      <x:c r="A13" s="174" t="str">
        <x:v>R&amp;D</x:v>
      </x:c>
      <x:c r="B13" s="199" t="n">
        <x:f>IF(B$5="Actual",Actuals_Staging!D16,B7*((SUMIF($B$5:$M$5,"Actual",$B$13:$M$13)/SUMIF($B$5:$M$5,"Actual",$B$7:$M$7))+Planning_Assumptions!$B$24))</x:f>
        <x:v>0.2556</x:v>
      </x:c>
      <x:c r="C13" s="199" t="n">
        <x:f>IF(C$5="Actual",Actuals_Staging!E16,C7*((SUMIF($B$5:$M$5,"Actual",$B$13:$M$13)/SUMIF($B$5:$M$5,"Actual",$B$7:$M$7))+Planning_Assumptions!$B$24))</x:f>
        <x:v>0.2628</x:v>
      </x:c>
      <x:c r="D13" s="199" t="n">
        <x:f>IF(D$5="Actual",Actuals_Staging!F16,D7*((SUMIF($B$5:$M$5,"Actual",$B$13:$M$13)/SUMIF($B$5:$M$5,"Actual",$B$7:$M$7))+Planning_Assumptions!$B$24))</x:f>
        <x:v>0.27</x:v>
      </x:c>
      <x:c r="E13" s="199" t="n">
        <x:f>IF(E$5="Actual",Actuals_Staging!G16,E7*((SUMIF($B$5:$M$5,"Actual",$B$13:$M$13)/SUMIF($B$5:$M$5,"Actual",$B$7:$M$7))+Planning_Assumptions!$B$24))</x:f>
        <x:v>0.2772</x:v>
      </x:c>
      <x:c r="F13" s="199" t="n">
        <x:f>IF(F$5="Actual",Actuals_Staging!H16,F7*((SUMIF($B$5:$M$5,"Actual",$B$13:$M$13)/SUMIF($B$5:$M$5,"Actual",$B$7:$M$7))+Planning_Assumptions!$B$24))</x:f>
        <x:v>0.2844</x:v>
      </x:c>
      <x:c r="G13" s="199" t="n">
        <x:f>IF(G$5="Actual",Actuals_Staging!I16,G7*((SUMIF($B$5:$M$5,"Actual",$B$13:$M$13)/SUMIF($B$5:$M$5,"Actual",$B$7:$M$7))+Planning_Assumptions!$B$24))</x:f>
        <x:v>0.2916</x:v>
      </x:c>
      <x:c r="H13" s="199" t="n">
        <x:f>IF(H$5="Actual",Actuals_Staging!J16,H7*((SUMIF($B$5:$M$5,"Actual",$B$13:$M$13)/SUMIF($B$5:$M$5,"Actual",$B$7:$M$7))+Planning_Assumptions!$B$24))</x:f>
        <x:v>0.2988</x:v>
      </x:c>
      <x:c r="I13" s="199" t="n">
        <x:f>IF(I$5="Actual",Actuals_Staging!K16,I7*((SUMIF($B$5:$M$5,"Actual",$B$13:$M$13)/SUMIF($B$5:$M$5,"Actual",$B$7:$M$7))+Planning_Assumptions!$B$24))</x:f>
        <x:v>0.306</x:v>
      </x:c>
      <x:c r="J13" s="272" t="n">
        <x:f>IF(J$5="Actual",Actuals_Staging!L16,J7*((SUMIF($B$5:$M$5,"Actual",$B$13:$M$13)/SUMIF($B$5:$M$5,"Actual",$B$7:$M$7))+Planning_Assumptions!$B$24))</x:f>
        <x:v>0.3035675675675676</x:v>
      </x:c>
      <x:c r="K13" s="272" t="n">
        <x:f>IF(K$5="Actual",Actuals_Staging!M16,K7*((SUMIF($B$5:$M$5,"Actual",$B$13:$M$13)/SUMIF($B$5:$M$5,"Actual",$B$7:$M$7))+Planning_Assumptions!$B$24))</x:f>
        <x:v>0.310710333863275</x:v>
      </x:c>
      <x:c r="L13" s="272" t="n">
        <x:f>IF(L$5="Actual",Actuals_Staging!N16,L7*((SUMIF($B$5:$M$5,"Actual",$B$13:$M$13)/SUMIF($B$5:$M$5,"Actual",$B$7:$M$7))+Planning_Assumptions!$B$24))</x:f>
        <x:v>0.3285672496025437</x:v>
      </x:c>
      <x:c r="M13" s="272" t="n">
        <x:f>IF(M$5="Actual",Actuals_Staging!O16,M7*((SUMIF($B$5:$M$5,"Actual",$B$13:$M$13)/SUMIF($B$5:$M$5,"Actual",$B$7:$M$7))+Planning_Assumptions!$B$24))</x:f>
        <x:v>0.3821379968203497</x:v>
      </x:c>
      <x:c r="N13" s="272" t="n">
        <x:f>SUM(B13:M13)</x:f>
        <x:v>3.571383147853736</x:v>
      </x:c>
      <x:c r="O13" s="272" t="n">
        <x:f>Budget_2026!N13</x:f>
        <x:v>3.5519999999999996</x:v>
      </x:c>
      <x:c r="P13" s="272" t="n">
        <x:f>N13-O13</x:f>
        <x:v>0.019383147853736293</x:v>
      </x:c>
      <x:c r="Q13" s="74" t="n">
        <x:f>IF(O13=0,0,P13/O13)</x:f>
        <x:v>0.005456967301164498</x:v>
      </x:c>
    </x:row>
    <x:row r="14">
      <x:c r="A14" s="174" t="str">
        <x:v>G&amp;A</x:v>
      </x:c>
      <x:c r="B14" s="199" t="n">
        <x:f>IF(B$5="Actual",Actuals_Staging!D17,B7*((SUMIF($B$5:$M$5,"Actual",$B$14:$M$14)/SUMIF($B$5:$M$5,"Actual",$B$7:$M$7))+Planning_Assumptions!$B$25))</x:f>
        <x:v>0.213</x:v>
      </x:c>
      <x:c r="C14" s="199" t="n">
        <x:f>IF(C$5="Actual",Actuals_Staging!E17,C7*((SUMIF($B$5:$M$5,"Actual",$B$14:$M$14)/SUMIF($B$5:$M$5,"Actual",$B$7:$M$7))+Planning_Assumptions!$B$25))</x:f>
        <x:v>0.219</x:v>
      </x:c>
      <x:c r="D14" s="199" t="n">
        <x:f>IF(D$5="Actual",Actuals_Staging!F17,D7*((SUMIF($B$5:$M$5,"Actual",$B$14:$M$14)/SUMIF($B$5:$M$5,"Actual",$B$7:$M$7))+Planning_Assumptions!$B$25))</x:f>
        <x:v>0.225</x:v>
      </x:c>
      <x:c r="E14" s="199" t="n">
        <x:f>IF(E$5="Actual",Actuals_Staging!G17,E7*((SUMIF($B$5:$M$5,"Actual",$B$14:$M$14)/SUMIF($B$5:$M$5,"Actual",$B$7:$M$7))+Planning_Assumptions!$B$25))</x:f>
        <x:v>0.231</x:v>
      </x:c>
      <x:c r="F14" s="199" t="n">
        <x:f>IF(F$5="Actual",Actuals_Staging!H17,F7*((SUMIF($B$5:$M$5,"Actual",$B$14:$M$14)/SUMIF($B$5:$M$5,"Actual",$B$7:$M$7))+Planning_Assumptions!$B$25))</x:f>
        <x:v>0.237</x:v>
      </x:c>
      <x:c r="G14" s="199" t="n">
        <x:f>IF(G$5="Actual",Actuals_Staging!I17,G7*((SUMIF($B$5:$M$5,"Actual",$B$14:$M$14)/SUMIF($B$5:$M$5,"Actual",$B$7:$M$7))+Planning_Assumptions!$B$25))</x:f>
        <x:v>0.243</x:v>
      </x:c>
      <x:c r="H14" s="199" t="n">
        <x:f>IF(H$5="Actual",Actuals_Staging!J17,H7*((SUMIF($B$5:$M$5,"Actual",$B$14:$M$14)/SUMIF($B$5:$M$5,"Actual",$B$7:$M$7))+Planning_Assumptions!$B$25))</x:f>
        <x:v>0.249</x:v>
      </x:c>
      <x:c r="I14" s="199" t="n">
        <x:f>IF(I$5="Actual",Actuals_Staging!K17,I7*((SUMIF($B$5:$M$5,"Actual",$B$14:$M$14)/SUMIF($B$5:$M$5,"Actual",$B$7:$M$7))+Planning_Assumptions!$B$25))</x:f>
        <x:v>0.255</x:v>
      </x:c>
      <x:c r="J14" s="272" t="n">
        <x:f>IF(J$5="Actual",Actuals_Staging!L17,J7*((SUMIF($B$5:$M$5,"Actual",$B$14:$M$14)/SUMIF($B$5:$M$5,"Actual",$B$7:$M$7))+Planning_Assumptions!$B$25))</x:f>
        <x:v>0.24454054054054053</x:v>
      </x:c>
      <x:c r="K14" s="272" t="n">
        <x:f>IF(K$5="Actual",Actuals_Staging!M17,K7*((SUMIF($B$5:$M$5,"Actual",$B$14:$M$14)/SUMIF($B$5:$M$5,"Actual",$B$7:$M$7))+Planning_Assumptions!$B$25))</x:f>
        <x:v>0.25029443561208264</x:v>
      </x:c>
      <x:c r="L14" s="272" t="n">
        <x:f>IF(L$5="Actual",Actuals_Staging!N17,L7*((SUMIF($B$5:$M$5,"Actual",$B$14:$M$14)/SUMIF($B$5:$M$5,"Actual",$B$7:$M$7))+Planning_Assumptions!$B$25))</x:f>
        <x:v>0.264679173290938</x:v>
      </x:c>
      <x:c r="M14" s="272" t="n">
        <x:f>IF(M$5="Actual",Actuals_Staging!O17,M7*((SUMIF($B$5:$M$5,"Actual",$B$14:$M$14)/SUMIF($B$5:$M$5,"Actual",$B$7:$M$7))+Planning_Assumptions!$B$25))</x:f>
        <x:v>0.3078333863275039</x:v>
      </x:c>
      <x:c r="N14" s="272" t="n">
        <x:f>SUM(B14:M14)</x:f>
        <x:v>2.939347535771065</x:v>
      </x:c>
      <x:c r="O14" s="272" t="n">
        <x:f>Budget_2026!N14</x:f>
        <x:v>2.9759999999999995</x:v>
      </x:c>
      <x:c r="P14" s="272" t="n">
        <x:f>N14-O14</x:f>
        <x:v>-0.036652464228934534</x:v>
      </x:c>
      <x:c r="Q14" s="74" t="n">
        <x:f>IF(O14=0,0,P14/O14)</x:f>
        <x:v>-0.012316016205959186</x:v>
      </x:c>
    </x:row>
    <x:row r="15">
      <x:c r="A15" s="282" t="str">
        <x:v>Total Operating Expenses</x:v>
      </x:c>
      <x:c r="B15" s="276" t="n">
        <x:f>SUM(B12:B14)</x:f>
        <x:v>0.8946</x:v>
      </x:c>
      <x:c r="C15" s="276" t="n">
        <x:f>SUM(C12:C14)</x:f>
        <x:v>0.9198</x:v>
      </x:c>
      <x:c r="D15" s="276" t="n">
        <x:f>SUM(D12:D14)</x:f>
        <x:v>0.945</x:v>
      </x:c>
      <x:c r="E15" s="276" t="n">
        <x:f>SUM(E12:E14)</x:f>
        <x:v>0.9702000000000001</x:v>
      </x:c>
      <x:c r="F15" s="276" t="n">
        <x:f>SUM(F12:F14)</x:f>
        <x:v>0.9954</x:v>
      </x:c>
      <x:c r="G15" s="276" t="n">
        <x:f>SUM(G12:G14)</x:f>
        <x:v>1.0206</x:v>
      </x:c>
      <x:c r="H15" s="276" t="n">
        <x:f>SUM(H12:H14)</x:f>
        <x:v>1.0457999999999998</x:v>
      </x:c>
      <x:c r="I15" s="276" t="n">
        <x:f>SUM(I12:I14)</x:f>
        <x:v>1.0710000000000002</x:v>
      </x:c>
      <x:c r="J15" s="276" t="n">
        <x:f>SUM(J12:J14)</x:f>
        <x:v>1.0456216216216216</x:v>
      </x:c>
      <x:c r="K15" s="276" t="n">
        <x:f>SUM(K12:K14)</x:f>
        <x:v>1.0702244833068362</x:v>
      </x:c>
      <x:c r="L15" s="276" t="n">
        <x:f>SUM(L12:L14)</x:f>
        <x:v>1.1317316375198727</x:v>
      </x:c>
      <x:c r="M15" s="276" t="n">
        <x:f>SUM(M12:M14)</x:f>
        <x:v>1.3162531001589821</x:v>
      </x:c>
      <x:c r="N15" s="276" t="n">
        <x:f>SUM(B15:M15)</x:f>
        <x:v>12.42623084260731</x:v>
      </x:c>
      <x:c r="O15" s="276" t="n">
        <x:f>Budget_2026!N15</x:f>
        <x:v>12.480000000000002</x:v>
      </x:c>
      <x:c r="P15" s="276" t="n">
        <x:f>N15-O15</x:f>
        <x:v>-0.053769157392691724</x:v>
      </x:c>
      <x:c r="Q15" s="288" t="n">
        <x:f>IF(O15=0,0,P15/O15)</x:f>
        <x:v>-0.004308426073132349</x:v>
      </x:c>
    </x:row>
    <x:row r="16">
      <x:c r="A16" s="20" t="str">
        <x:v>EBITDA</x:v>
      </x:c>
      <x:c r="B16" s="274" t="n">
        <x:f>B9-B15</x:f>
        <x:v>0.1704</x:v>
      </x:c>
      <x:c r="C16" s="274" t="n">
        <x:f>C9-C15</x:f>
        <x:v>0.17520000000000002</x:v>
      </x:c>
      <x:c r="D16" s="274" t="n">
        <x:f>D9-D15</x:f>
        <x:v>0.18000000000000005</x:v>
      </x:c>
      <x:c r="E16" s="274" t="n">
        <x:f>E9-E15</x:f>
        <x:v>0.18479999999999996</x:v>
      </x:c>
      <x:c r="F16" s="274" t="n">
        <x:f>F9-F15</x:f>
        <x:v>0.1896000000000001</x:v>
      </x:c>
      <x:c r="G16" s="274" t="n">
        <x:f>G9-G15</x:f>
        <x:v>0.19440000000000013</x:v>
      </x:c>
      <x:c r="H16" s="274" t="n">
        <x:f>H9-H15</x:f>
        <x:v>0.19920000000000004</x:v>
      </x:c>
      <x:c r="I16" s="274" t="n">
        <x:f>I9-I15</x:f>
        <x:v>0.20399999999999974</x:v>
      </x:c>
      <x:c r="J16" s="274" t="n">
        <x:f>J9-J15</x:f>
        <x:v>0.22767567567567548</x:v>
      </x:c>
      <x:c r="K16" s="274" t="n">
        <x:f>K9-K15</x:f>
        <x:v>0.23303275039745608</x:v>
      </x:c>
      <x:c r="L16" s="274" t="n">
        <x:f>L9-L15</x:f>
        <x:v>0.24642543720190768</x:v>
      </x:c>
      <x:c r="M16" s="274" t="n">
        <x:f>M9-M15</x:f>
        <x:v>0.28660349761526227</x:v>
      </x:c>
      <x:c r="N16" s="274" t="n">
        <x:f>SUM(B16:M16)</x:f>
        <x:v>2.4913373608903013</x:v>
      </x:c>
      <x:c r="O16" s="274" t="n">
        <x:f>Budget_2026!N16</x:f>
        <x:v>1.7279999999999995</x:v>
      </x:c>
      <x:c r="P16" s="274" t="n">
        <x:f>N16-O16</x:f>
        <x:v>0.7633373608903018</x:v>
      </x:c>
      <x:c r="Q16" s="289" t="n">
        <x:f>IF(O16=0,0,P16/O16)</x:f>
        <x:v>0.44174615792262845</x:v>
      </x:c>
    </x:row>
    <x:row r="17">
      <x:c r="A17" s="174" t="str">
        <x:v>EBITDA Margin</x:v>
      </x:c>
      <x:c r="B17" s="74" t="n">
        <x:f>IF(B7=0,0,B16/B7)</x:f>
        <x:v>0.12000000000000001</x:v>
      </x:c>
      <x:c r="C17" s="74" t="n">
        <x:f>IF(C7=0,0,C16/C7)</x:f>
        <x:v>0.12000000000000002</x:v>
      </x:c>
      <x:c r="D17" s="74" t="n">
        <x:f>IF(D7=0,0,D16/D7)</x:f>
        <x:v>0.12000000000000004</x:v>
      </x:c>
      <x:c r="E17" s="74" t="n">
        <x:f>IF(E7=0,0,E16/E7)</x:f>
        <x:v>0.11999999999999997</x:v>
      </x:c>
      <x:c r="F17" s="74" t="n">
        <x:f>IF(F7=0,0,F16/F7)</x:f>
        <x:v>0.12000000000000006</x:v>
      </x:c>
      <x:c r="G17" s="74" t="n">
        <x:f>IF(G7=0,0,G16/G7)</x:f>
        <x:v>0.12000000000000006</x:v>
      </x:c>
      <x:c r="H17" s="74" t="n">
        <x:f>IF(H7=0,0,H16/H7)</x:f>
        <x:v>0.12000000000000004</x:v>
      </x:c>
      <x:c r="I17" s="74" t="n">
        <x:f>IF(I7=0,0,I16/I7)</x:f>
        <x:v>0.11999999999999984</x:v>
      </x:c>
      <x:c r="J17" s="74" t="n">
        <x:f>IF(J7=0,0,J16/J7)</x:f>
        <x:v>0.13499999999999987</x:v>
      </x:c>
      <x:c r="K17" s="74" t="n">
        <x:f>IF(K7=0,0,K16/K7)</x:f>
        <x:v>0.1349999999999999</x:v>
      </x:c>
      <x:c r="L17" s="74" t="n">
        <x:f>IF(L7=0,0,L16/L7)</x:f>
        <x:v>0.13499999999999995</x:v>
      </x:c>
      <x:c r="M17" s="74" t="n">
        <x:f>IF(M7=0,0,M16/M7)</x:f>
        <x:v>0.13499999999999998</x:v>
      </x:c>
      <x:c r="N17" s="74" t="n">
        <x:f>IF(N7=0,0,N16/N7)</x:f>
        <x:v>0.12556499999999995</x:v>
      </x:c>
      <x:c r="O17" s="74" t="n">
        <x:f>Budget_2026!N17</x:f>
        <x:v>0.08999999999999997</x:v>
      </x:c>
      <x:c r="P17" s="74" t="n">
        <x:f>N17-O17</x:f>
        <x:v>0.035564999999999986</x:v>
      </x:c>
      <x:c r="Q17" s="74" t="n">
        <x:f>P17</x:f>
        <x:v>0.035564999999999986</x:v>
      </x:c>
    </x:row>
    <x:row r="18">
      <x:c r="A18" s="174"/>
      <x:c r="B18" s="199"/>
      <x:c r="C18" s="199"/>
      <x:c r="D18" s="199"/>
      <x:c r="E18" s="199"/>
      <x:c r="F18" s="199"/>
      <x:c r="G18" s="199"/>
      <x:c r="H18" s="199"/>
      <x:c r="I18" s="199"/>
      <x:c r="J18" s="272"/>
      <x:c r="K18" s="272"/>
      <x:c r="L18" s="272"/>
      <x:c r="M18" s="272"/>
      <x:c r="N18" s="272"/>
      <x:c r="O18" s="272"/>
      <x:c r="P18" s="272"/>
      <x:c r="Q18" s="74"/>
    </x:row>
    <x:row r="19">
      <x:c r="A19" s="174" t="str">
        <x:v>D&amp;A</x:v>
      </x:c>
      <x:c r="B19" s="199" t="n">
        <x:f>IF(B$5="Actual",Actuals_Staging!D18,B7*Planning_Assumptions!$B$26)</x:f>
        <x:v>0.0284</x:v>
      </x:c>
      <x:c r="C19" s="199" t="n">
        <x:f>IF(C$5="Actual",Actuals_Staging!E18,C7*Planning_Assumptions!$B$26)</x:f>
        <x:v>0.0292</x:v>
      </x:c>
      <x:c r="D19" s="199" t="n">
        <x:f>IF(D$5="Actual",Actuals_Staging!F18,D7*Planning_Assumptions!$B$26)</x:f>
        <x:v>0.03</x:v>
      </x:c>
      <x:c r="E19" s="199" t="n">
        <x:f>IF(E$5="Actual",Actuals_Staging!G18,E7*Planning_Assumptions!$B$26)</x:f>
        <x:v>0.0308</x:v>
      </x:c>
      <x:c r="F19" s="199" t="n">
        <x:f>IF(F$5="Actual",Actuals_Staging!H18,F7*Planning_Assumptions!$B$26)</x:f>
        <x:v>0.0316</x:v>
      </x:c>
      <x:c r="G19" s="199" t="n">
        <x:f>IF(G$5="Actual",Actuals_Staging!I18,G7*Planning_Assumptions!$B$26)</x:f>
        <x:v>0.0324</x:v>
      </x:c>
      <x:c r="H19" s="199" t="n">
        <x:f>IF(H$5="Actual",Actuals_Staging!J18,H7*Planning_Assumptions!$B$26)</x:f>
        <x:v>0.0332</x:v>
      </x:c>
      <x:c r="I19" s="199" t="n">
        <x:f>IF(I$5="Actual",Actuals_Staging!K18,I7*Planning_Assumptions!$B$26)</x:f>
        <x:v>0.034</x:v>
      </x:c>
      <x:c r="J19" s="272" t="n">
        <x:f>IF(J$5="Actual",Actuals_Staging!L18,J7*Planning_Assumptions!$B$26)</x:f>
        <x:v>0.033729729729729735</x:v>
      </x:c>
      <x:c r="K19" s="272" t="n">
        <x:f>IF(K$5="Actual",Actuals_Staging!M18,K7*Planning_Assumptions!$B$26)</x:f>
        <x:v>0.034523370429252784</x:v>
      </x:c>
      <x:c r="L19" s="272" t="n">
        <x:f>IF(L$5="Actual",Actuals_Staging!N18,L7*Planning_Assumptions!$B$26)</x:f>
        <x:v>0.03650747217806041</x:v>
      </x:c>
      <x:c r="M19" s="272" t="n">
        <x:f>IF(M$5="Actual",Actuals_Staging!O18,M7*Planning_Assumptions!$B$26)</x:f>
        <x:v>0.04245977742448331</x:v>
      </x:c>
      <x:c r="N19" s="272" t="n">
        <x:f>SUM(B19:M19)</x:f>
        <x:v>0.3968203497615263</x:v>
      </x:c>
      <x:c r="O19" s="272" t="n">
        <x:f>Budget_2026!N19</x:f>
        <x:v>0.384</x:v>
      </x:c>
      <x:c r="P19" s="272" t="n">
        <x:f>N19-O19</x:f>
        <x:v>0.012820349761526295</x:v>
      </x:c>
      <x:c r="Q19" s="74" t="n">
        <x:f>IF(O19=0,0,P19/O19)</x:f>
        <x:v>0.03338632750397472</x:v>
      </x:c>
    </x:row>
    <x:row r="20">
      <x:c r="A20" s="282" t="str">
        <x:v>EBIT</x:v>
      </x:c>
      <x:c r="B20" s="276" t="n">
        <x:f>B16-B19</x:f>
        <x:v>0.142</x:v>
      </x:c>
      <x:c r="C20" s="276" t="n">
        <x:f>C16-C19</x:f>
        <x:v>0.14600000000000002</x:v>
      </x:c>
      <x:c r="D20" s="276" t="n">
        <x:f>D16-D19</x:f>
        <x:v>0.15000000000000005</x:v>
      </x:c>
      <x:c r="E20" s="276" t="n">
        <x:f>E16-E19</x:f>
        <x:v>0.15399999999999997</x:v>
      </x:c>
      <x:c r="F20" s="276" t="n">
        <x:f>F16-F19</x:f>
        <x:v>0.15800000000000008</x:v>
      </x:c>
      <x:c r="G20" s="276" t="n">
        <x:f>G16-G19</x:f>
        <x:v>0.16200000000000014</x:v>
      </x:c>
      <x:c r="H20" s="276" t="n">
        <x:f>H16-H19</x:f>
        <x:v>0.16600000000000004</x:v>
      </x:c>
      <x:c r="I20" s="276" t="n">
        <x:f>I16-I19</x:f>
        <x:v>0.16999999999999973</x:v>
      </x:c>
      <x:c r="J20" s="276" t="n">
        <x:f>J16-J19</x:f>
        <x:v>0.19394594594594575</x:v>
      </x:c>
      <x:c r="K20" s="276" t="n">
        <x:f>K16-K19</x:f>
        <x:v>0.19850937996820328</x:v>
      </x:c>
      <x:c r="L20" s="276" t="n">
        <x:f>L16-L19</x:f>
        <x:v>0.20991796502384727</x:v>
      </x:c>
      <x:c r="M20" s="276" t="n">
        <x:f>M16-M19</x:f>
        <x:v>0.24414372019077896</x:v>
      </x:c>
      <x:c r="N20" s="276" t="n">
        <x:f>SUM(B20:M20)</x:f>
        <x:v>2.0945170111287754</x:v>
      </x:c>
      <x:c r="O20" s="276" t="n">
        <x:f>Budget_2026!N20</x:f>
        <x:v>1.3439999999999996</x:v>
      </x:c>
      <x:c r="P20" s="276" t="n">
        <x:f>N20-O20</x:f>
        <x:v>0.7505170111287758</x:v>
      </x:c>
      <x:c r="Q20" s="288" t="n">
        <x:f>IF(O20=0,0,P20/O20)</x:f>
        <x:v>0.5584203951851012</x:v>
      </x:c>
    </x:row>
    <x:row r="21">
      <x:c r="A21" s="174" t="str">
        <x:v>Interest Expense</x:v>
      </x:c>
      <x:c r="B21" s="199" t="n">
        <x:f>IF(B$5="Actual",Actuals_Staging!D19,(SUMIF($B$5:$M$5,"Actual",$B$21:$M$21)/Planning_Assumptions!$B$9))</x:f>
        <x:v>0.0213</x:v>
      </x:c>
      <x:c r="C21" s="199" t="n">
        <x:f>IF(C$5="Actual",Actuals_Staging!E19,(SUMIF($B$5:$M$5,"Actual",$B$21:$M$21)/Planning_Assumptions!$B$9))</x:f>
        <x:v>0.0219</x:v>
      </x:c>
      <x:c r="D21" s="199" t="n">
        <x:f>IF(D$5="Actual",Actuals_Staging!F19,(SUMIF($B$5:$M$5,"Actual",$B$21:$M$21)/Planning_Assumptions!$B$9))</x:f>
        <x:v>0.0225</x:v>
      </x:c>
      <x:c r="E21" s="199" t="n">
        <x:f>IF(E$5="Actual",Actuals_Staging!G19,(SUMIF($B$5:$M$5,"Actual",$B$21:$M$21)/Planning_Assumptions!$B$9))</x:f>
        <x:v>0.0231</x:v>
      </x:c>
      <x:c r="F21" s="199" t="n">
        <x:f>IF(F$5="Actual",Actuals_Staging!H19,(SUMIF($B$5:$M$5,"Actual",$B$21:$M$21)/Planning_Assumptions!$B$9))</x:f>
        <x:v>0.0237</x:v>
      </x:c>
      <x:c r="G21" s="199" t="n">
        <x:f>IF(G$5="Actual",Actuals_Staging!I19,(SUMIF($B$5:$M$5,"Actual",$B$21:$M$21)/Planning_Assumptions!$B$9))</x:f>
        <x:v>0.0243</x:v>
      </x:c>
      <x:c r="H21" s="199" t="n">
        <x:f>IF(H$5="Actual",Actuals_Staging!J19,(SUMIF($B$5:$M$5,"Actual",$B$21:$M$21)/Planning_Assumptions!$B$9))</x:f>
        <x:v>0.0249</x:v>
      </x:c>
      <x:c r="I21" s="199" t="n">
        <x:f>IF(I$5="Actual",Actuals_Staging!K19,(SUMIF($B$5:$M$5,"Actual",$B$21:$M$21)/Planning_Assumptions!$B$9))</x:f>
        <x:v>0.0255</x:v>
      </x:c>
      <x:c r="J21" s="272" t="n">
        <x:f>IF(J$5="Actual",Actuals_Staging!L19,(SUMIF($B$5:$M$5,"Actual",$B$21:$M$21)/Planning_Assumptions!$B$9))</x:f>
        <x:v>0.0234</x:v>
      </x:c>
      <x:c r="K21" s="272" t="n">
        <x:f>IF(K$5="Actual",Actuals_Staging!M19,(SUMIF($B$5:$M$5,"Actual",$B$21:$M$21)/Planning_Assumptions!$B$9))</x:f>
        <x:v>0.0234</x:v>
      </x:c>
      <x:c r="L21" s="272" t="n">
        <x:f>IF(L$5="Actual",Actuals_Staging!N19,(SUMIF($B$5:$M$5,"Actual",$B$21:$M$21)/Planning_Assumptions!$B$9))</x:f>
        <x:v>0.0234</x:v>
      </x:c>
      <x:c r="M21" s="272" t="n">
        <x:f>IF(M$5="Actual",Actuals_Staging!O19,(SUMIF($B$5:$M$5,"Actual",$B$21:$M$21)/Planning_Assumptions!$B$9))</x:f>
        <x:v>0.0234</x:v>
      </x:c>
      <x:c r="N21" s="272" t="n">
        <x:f>SUM(B21:M21)</x:f>
        <x:v>0.2808</x:v>
      </x:c>
      <x:c r="O21" s="272" t="n">
        <x:f>Budget_2026!N21</x:f>
        <x:v>0.32</x:v>
      </x:c>
      <x:c r="P21" s="272" t="n">
        <x:f>N21-O21</x:f>
        <x:v>-0.03920000000000001</x:v>
      </x:c>
      <x:c r="Q21" s="74" t="n">
        <x:f>IF(O21=0,0,P21/O21)</x:f>
        <x:v>-0.12250000000000004</x:v>
      </x:c>
    </x:row>
    <x:row r="22">
      <x:c r="A22" s="282" t="str">
        <x:v>Earnings Before Tax</x:v>
      </x:c>
      <x:c r="B22" s="276" t="n">
        <x:f>B20-B21</x:f>
        <x:v>0.12069999999999999</x:v>
      </x:c>
      <x:c r="C22" s="276" t="n">
        <x:f>C20-C21</x:f>
        <x:v>0.12410000000000002</x:v>
      </x:c>
      <x:c r="D22" s="276" t="n">
        <x:f>D20-D21</x:f>
        <x:v>0.12750000000000006</x:v>
      </x:c>
      <x:c r="E22" s="276" t="n">
        <x:f>E20-E21</x:f>
        <x:v>0.13089999999999996</x:v>
      </x:c>
      <x:c r="F22" s="276" t="n">
        <x:f>F20-F21</x:f>
        <x:v>0.13430000000000009</x:v>
      </x:c>
      <x:c r="G22" s="276" t="n">
        <x:f>G20-G21</x:f>
        <x:v>0.13770000000000016</x:v>
      </x:c>
      <x:c r="H22" s="276" t="n">
        <x:f>H20-H21</x:f>
        <x:v>0.14110000000000003</x:v>
      </x:c>
      <x:c r="I22" s="276" t="n">
        <x:f>I20-I21</x:f>
        <x:v>0.14449999999999974</x:v>
      </x:c>
      <x:c r="J22" s="276" t="n">
        <x:f>J20-J21</x:f>
        <x:v>0.17054594594594574</x:v>
      </x:c>
      <x:c r="K22" s="276" t="n">
        <x:f>K20-K21</x:f>
        <x:v>0.17510937996820328</x:v>
      </x:c>
      <x:c r="L22" s="276" t="n">
        <x:f>L20-L21</x:f>
        <x:v>0.18651796502384727</x:v>
      </x:c>
      <x:c r="M22" s="276" t="n">
        <x:f>M20-M21</x:f>
        <x:v>0.22074372019077895</x:v>
      </x:c>
      <x:c r="N22" s="276" t="n">
        <x:f>SUM(B22:M22)</x:f>
        <x:v>1.8137170111287753</x:v>
      </x:c>
      <x:c r="O22" s="276" t="n">
        <x:f>Budget_2026!N22</x:f>
        <x:v>1.0239999999999996</x:v>
      </x:c>
      <x:c r="P22" s="276" t="n">
        <x:f>N22-O22</x:f>
        <x:v>0.7897170111287757</x:v>
      </x:c>
      <x:c r="Q22" s="288" t="n">
        <x:f>IF(O22=0,0,P22/O22)</x:f>
        <x:v>0.7712080186804453</x:v>
      </x:c>
    </x:row>
    <x:row r="23">
      <x:c r="A23" s="174" t="str">
        <x:v>Taxes</x:v>
      </x:c>
      <x:c r="B23" s="199" t="n">
        <x:f>IF(B$5="Actual",Actuals_Staging!D20,MAX(B22,0)*Planning_Assumptions!$B$18)</x:f>
        <x:v>0.030175</x:v>
      </x:c>
      <x:c r="C23" s="199" t="n">
        <x:f>IF(C$5="Actual",Actuals_Staging!E20,MAX(C22,0)*Planning_Assumptions!$B$18)</x:f>
        <x:v>0.031025</x:v>
      </x:c>
      <x:c r="D23" s="199" t="n">
        <x:f>IF(D$5="Actual",Actuals_Staging!F20,MAX(D22,0)*Planning_Assumptions!$B$18)</x:f>
        <x:v>0.031875</x:v>
      </x:c>
      <x:c r="E23" s="199" t="n">
        <x:f>IF(E$5="Actual",Actuals_Staging!G20,MAX(E22,0)*Planning_Assumptions!$B$18)</x:f>
        <x:v>0.032725</x:v>
      </x:c>
      <x:c r="F23" s="199" t="n">
        <x:f>IF(F$5="Actual",Actuals_Staging!H20,MAX(F22,0)*Planning_Assumptions!$B$18)</x:f>
        <x:v>0.033575</x:v>
      </x:c>
      <x:c r="G23" s="199" t="n">
        <x:f>IF(G$5="Actual",Actuals_Staging!I20,MAX(G22,0)*Planning_Assumptions!$B$18)</x:f>
        <x:v>0.034425</x:v>
      </x:c>
      <x:c r="H23" s="199" t="n">
        <x:f>IF(H$5="Actual",Actuals_Staging!J20,MAX(H22,0)*Planning_Assumptions!$B$18)</x:f>
        <x:v>0.035275</x:v>
      </x:c>
      <x:c r="I23" s="199" t="n">
        <x:f>IF(I$5="Actual",Actuals_Staging!K20,MAX(I22,0)*Planning_Assumptions!$B$18)</x:f>
        <x:v>0.036125</x:v>
      </x:c>
      <x:c r="J23" s="272" t="n">
        <x:f>IF(J$5="Actual",Actuals_Staging!L20,MAX(J22,0)*Planning_Assumptions!$B$18)</x:f>
        <x:v>0.042636486486486436</x:v>
      </x:c>
      <x:c r="K23" s="272" t="n">
        <x:f>IF(K$5="Actual",Actuals_Staging!M20,MAX(K22,0)*Planning_Assumptions!$B$18)</x:f>
        <x:v>0.04377734499205082</x:v>
      </x:c>
      <x:c r="L23" s="272" t="n">
        <x:f>IF(L$5="Actual",Actuals_Staging!N20,MAX(L22,0)*Planning_Assumptions!$B$18)</x:f>
        <x:v>0.046629491255961816</x:v>
      </x:c>
      <x:c r="M23" s="272" t="n">
        <x:f>IF(M$5="Actual",Actuals_Staging!O20,MAX(M22,0)*Planning_Assumptions!$B$18)</x:f>
        <x:v>0.05518593004769474</x:v>
      </x:c>
      <x:c r="N23" s="272" t="n">
        <x:f>SUM(B23:M23)</x:f>
        <x:v>0.4534292527821938</x:v>
      </x:c>
      <x:c r="O23" s="272" t="n">
        <x:f>Budget_2026!N23</x:f>
        <x:v>0.2559999999999999</x:v>
      </x:c>
      <x:c r="P23" s="272" t="n">
        <x:f>N23-O23</x:f>
        <x:v>0.19742925278219392</x:v>
      </x:c>
      <x:c r="Q23" s="74" t="n">
        <x:f>IF(O23=0,0,P23/O23)</x:f>
        <x:v>0.7712080186804453</x:v>
      </x:c>
    </x:row>
    <x:row r="24">
      <x:c r="A24" s="282" t="str">
        <x:v>Net Income</x:v>
      </x:c>
      <x:c r="B24" s="276" t="n">
        <x:f>B22-B23</x:f>
        <x:v>0.090525</x:v>
      </x:c>
      <x:c r="C24" s="276" t="n">
        <x:f>C22-C23</x:f>
        <x:v>0.09307500000000002</x:v>
      </x:c>
      <x:c r="D24" s="276" t="n">
        <x:f>D22-D23</x:f>
        <x:v>0.09562500000000006</x:v>
      </x:c>
      <x:c r="E24" s="276" t="n">
        <x:f>E22-E23</x:f>
        <x:v>0.09817499999999996</x:v>
      </x:c>
      <x:c r="F24" s="276" t="n">
        <x:f>F22-F23</x:f>
        <x:v>0.10072500000000009</x:v>
      </x:c>
      <x:c r="G24" s="276" t="n">
        <x:f>G22-G23</x:f>
        <x:v>0.10327500000000016</x:v>
      </x:c>
      <x:c r="H24" s="276" t="n">
        <x:f>H22-H23</x:f>
        <x:v>0.10582500000000003</x:v>
      </x:c>
      <x:c r="I24" s="276" t="n">
        <x:f>I22-I23</x:f>
        <x:v>0.10837499999999975</x:v>
      </x:c>
      <x:c r="J24" s="276" t="n">
        <x:f>J22-J23</x:f>
        <x:v>0.1279094594594593</x:v>
      </x:c>
      <x:c r="K24" s="276" t="n">
        <x:f>K22-K23</x:f>
        <x:v>0.13133203497615245</x:v>
      </x:c>
      <x:c r="L24" s="276" t="n">
        <x:f>L22-L23</x:f>
        <x:v>0.13988847376788544</x:v>
      </x:c>
      <x:c r="M24" s="276" t="n">
        <x:f>M22-M23</x:f>
        <x:v>0.16555779014308422</x:v>
      </x:c>
      <x:c r="N24" s="276" t="n">
        <x:f>SUM(B24:M24)</x:f>
        <x:v>1.3602877583465816</x:v>
      </x:c>
      <x:c r="O24" s="276" t="n">
        <x:f>Budget_2026!N24</x:f>
        <x:v>0.7679999999999998</x:v>
      </x:c>
      <x:c r="P24" s="276" t="n">
        <x:f>N24-O24</x:f>
        <x:v>0.5922877583465818</x:v>
      </x:c>
      <x:c r="Q24" s="288" t="n">
        <x:f>IF(O24=0,0,P24/O24)</x:f>
        <x:v>0.7712080186804452</x:v>
      </x:c>
    </x:row>
    <x:row r="25">
      <x:c r="A25" s="174"/>
      <x:c r="B25" s="174"/>
      <x:c r="C25" s="174"/>
      <x:c r="D25" s="174"/>
      <x:c r="E25" s="174"/>
      <x:c r="F25" s="174"/>
      <x:c r="G25" s="174"/>
      <x:c r="H25" s="174"/>
      <x:c r="I25" s="174"/>
      <x:c r="J25" s="174"/>
      <x:c r="K25" s="174"/>
      <x:c r="L25" s="174"/>
      <x:c r="M25" s="174"/>
      <x:c r="N25" s="174"/>
      <x:c r="O25" s="174"/>
      <x:c r="P25" s="174"/>
      <x:c r="Q25" s="174"/>
    </x:row>
    <x:row r="26">
      <x:c r="A26" s="174"/>
      <x:c r="B26" s="174"/>
      <x:c r="C26" s="174"/>
      <x:c r="D26" s="174"/>
      <x:c r="E26" s="174"/>
      <x:c r="F26" s="174"/>
      <x:c r="G26" s="174"/>
      <x:c r="H26" s="174"/>
      <x:c r="I26" s="174"/>
      <x:c r="J26" s="174"/>
      <x:c r="K26" s="174"/>
      <x:c r="L26" s="174"/>
      <x:c r="M26" s="174"/>
      <x:c r="N26" s="174"/>
      <x:c r="O26" s="174"/>
      <x:c r="P26" s="174"/>
      <x:c r="Q26" s="174"/>
    </x:row>
    <x:row r="27">
      <x:c r="A27" s="174"/>
      <x:c r="B27" s="174"/>
      <x:c r="C27" s="174"/>
      <x:c r="D27" s="174"/>
      <x:c r="E27" s="174"/>
      <x:c r="F27" s="174"/>
      <x:c r="G27" s="174"/>
      <x:c r="H27" s="174"/>
      <x:c r="I27" s="174"/>
      <x:c r="J27" s="174"/>
      <x:c r="K27" s="174"/>
      <x:c r="L27" s="174"/>
      <x:c r="M27" s="174"/>
      <x:c r="N27" s="174"/>
      <x:c r="O27" s="174"/>
      <x:c r="P27" s="174"/>
      <x:c r="Q27" s="174"/>
    </x:row>
    <x:row r="28" ht="20" customHeight="1">
      <x:c r="A28" s="244" t="str">
        <x:v>Automated Forecast Drivers</x:v>
      </x:c>
      <x:c r="B28" s="244"/>
      <x:c r="C28" s="244"/>
      <x:c r="D28" s="244"/>
      <x:c r="E28" s="174"/>
      <x:c r="F28" s="174"/>
      <x:c r="G28" s="174"/>
      <x:c r="H28" s="174"/>
      <x:c r="I28" s="174"/>
      <x:c r="J28" s="174"/>
      <x:c r="K28" s="174"/>
      <x:c r="L28" s="174"/>
      <x:c r="M28" s="174"/>
      <x:c r="N28" s="174"/>
      <x:c r="O28" s="174"/>
      <x:c r="P28" s="174"/>
      <x:c r="Q28" s="174"/>
    </x:row>
    <x:row r="29">
      <x:c r="A29" s="174" t="str">
        <x:v>YTD Revenue Actual</x:v>
      </x:c>
      <x:c r="B29" s="272" t="n">
        <x:f>SUMIF(B5:M5,"Actual",B7:M7)</x:f>
        <x:v>12.48</x:v>
      </x:c>
      <x:c r="C29" s="174" t="str">
        <x:v>Closed-month revenue</x:v>
      </x:c>
      <x:c r="D29" s="174"/>
      <x:c r="E29" s="174"/>
      <x:c r="F29" s="174"/>
      <x:c r="G29" s="174"/>
      <x:c r="H29" s="174"/>
      <x:c r="I29" s="174"/>
      <x:c r="J29" s="174"/>
      <x:c r="K29" s="174"/>
      <x:c r="L29" s="174"/>
      <x:c r="M29" s="174"/>
      <x:c r="N29" s="174"/>
      <x:c r="O29" s="174"/>
      <x:c r="P29" s="174"/>
      <x:c r="Q29" s="174"/>
    </x:row>
    <x:row r="30">
      <x:c r="A30" s="174" t="str">
        <x:v>YTD Revenue Budget</x:v>
      </x:c>
      <x:c r="B30" s="272" t="n">
        <x:f>SUMIF(B5:M5,"Actual",Budget_2026!B7:M7)</x:f>
        <x:v>12.0768</x:v>
      </x:c>
      <x:c r="C30" s="174" t="str">
        <x:v>Closed-month budget</x:v>
      </x:c>
      <x:c r="D30" s="174"/>
      <x:c r="E30" s="174"/>
      <x:c r="F30" s="174"/>
      <x:c r="G30" s="174"/>
      <x:c r="H30" s="174"/>
      <x:c r="I30" s="174"/>
      <x:c r="J30" s="174"/>
      <x:c r="K30" s="174"/>
      <x:c r="L30" s="174"/>
      <x:c r="M30" s="174"/>
      <x:c r="N30" s="174"/>
      <x:c r="O30" s="174"/>
      <x:c r="P30" s="174"/>
      <x:c r="Q30" s="174"/>
    </x:row>
    <x:row r="31">
      <x:c r="A31" s="174" t="str">
        <x:v>Revenue Realization Factor</x:v>
      </x:c>
      <x:c r="B31" s="280" t="n">
        <x:f>(SUMIF(B5:M5,"Actual",B7:M7)/SUMIF(B5:M5,"Actual",Budget_2026!B7:M7))*Planning_Assumptions!$B$21</x:f>
        <x:v>1.0333863275039745</x:v>
      </x:c>
      <x:c r="C31" s="174" t="str">
        <x:v>Actual / Budget</x:v>
      </x:c>
      <x:c r="D31" s="174"/>
      <x:c r="E31" s="174"/>
      <x:c r="F31" s="174"/>
      <x:c r="G31" s="174"/>
      <x:c r="H31" s="174"/>
      <x:c r="I31" s="174"/>
      <x:c r="J31" s="174"/>
      <x:c r="K31" s="174"/>
      <x:c r="L31" s="174"/>
      <x:c r="M31" s="174"/>
      <x:c r="N31" s="174"/>
      <x:c r="O31" s="174"/>
      <x:c r="P31" s="174"/>
      <x:c r="Q31" s="174"/>
    </x:row>
    <x:row r="32">
      <x:c r="A32" s="174" t="str">
        <x:v>Forecast Gross Margin</x:v>
      </x:c>
      <x:c r="B32" s="74" t="n">
        <x:f>(SUMIF(B5:M5,"Actual",B9:M9)/SUMIF(B5:M5,"Actual",B7:M7))+Planning_Assumptions!$B$22</x:f>
        <x:v>0.7549999999999999</x:v>
      </x:c>
      <x:c r="C32" s="174" t="str">
        <x:v>YTD GM + adjustment</x:v>
      </x:c>
      <x:c r="D32" s="174"/>
      <x:c r="E32" s="174"/>
      <x:c r="F32" s="174"/>
      <x:c r="G32" s="174"/>
      <x:c r="H32" s="174"/>
      <x:c r="I32" s="174"/>
      <x:c r="J32" s="174"/>
      <x:c r="K32" s="174"/>
      <x:c r="L32" s="174"/>
      <x:c r="M32" s="174"/>
      <x:c r="N32" s="174"/>
      <x:c r="O32" s="174"/>
      <x:c r="P32" s="174"/>
      <x:c r="Q32" s="174"/>
    </x:row>
    <x:row r="33">
      <x:c r="A33" s="174" t="str">
        <x:v>Forecast S&amp;M % Revenue</x:v>
      </x:c>
      <x:c r="B33" s="74" t="n">
        <x:f>(SUMIF(B5:M5,"Actual",B12:M12)/SUMIF(B5:M5,"Actual",B7:M7))+Planning_Assumptions!$B$23</x:f>
        <x:v>0.295</x:v>
      </x:c>
      <x:c r="C33" s="174" t="str">
        <x:v>YTD ratio + adjustment</x:v>
      </x:c>
      <x:c r="D33" s="174"/>
      <x:c r="E33" s="174"/>
      <x:c r="F33" s="174"/>
      <x:c r="G33" s="174"/>
      <x:c r="H33" s="174"/>
      <x:c r="I33" s="174"/>
      <x:c r="J33" s="174"/>
      <x:c r="K33" s="174"/>
      <x:c r="L33" s="174"/>
      <x:c r="M33" s="174"/>
      <x:c r="N33" s="174"/>
      <x:c r="O33" s="174"/>
      <x:c r="P33" s="174"/>
      <x:c r="Q33" s="174"/>
    </x:row>
    <x:row r="34">
      <x:c r="A34" s="174" t="str">
        <x:v>Forecast R&amp;D % Revenue</x:v>
      </x:c>
      <x:c r="B34" s="74" t="n">
        <x:f>(SUMIF(B5:M5,"Actual",B13:M13)/SUMIF(B5:M5,"Actual",B7:M7))+Planning_Assumptions!$B$24</x:f>
        <x:v>0.18</x:v>
      </x:c>
      <x:c r="C34" s="174" t="str">
        <x:v>YTD ratio + adjustment</x:v>
      </x:c>
      <x:c r="D34" s="174"/>
      <x:c r="E34" s="174"/>
      <x:c r="F34" s="174"/>
      <x:c r="G34" s="174"/>
      <x:c r="H34" s="174"/>
      <x:c r="I34" s="174"/>
      <x:c r="J34" s="174"/>
      <x:c r="K34" s="174"/>
      <x:c r="L34" s="174"/>
      <x:c r="M34" s="174"/>
      <x:c r="N34" s="174"/>
      <x:c r="O34" s="174"/>
      <x:c r="P34" s="174"/>
      <x:c r="Q34" s="174"/>
    </x:row>
    <x:row r="35">
      <x:c r="A35" s="174" t="str">
        <x:v>Forecast G&amp;A % Revenue</x:v>
      </x:c>
      <x:c r="B35" s="74" t="n">
        <x:f>(SUMIF(B5:M5,"Actual",B14:M14)/SUMIF(B5:M5,"Actual",B7:M7))+Planning_Assumptions!$B$25</x:f>
        <x:v>0.145</x:v>
      </x:c>
      <x:c r="C35" s="174" t="str">
        <x:v>YTD ratio + adjustment</x:v>
      </x:c>
      <x:c r="D35" s="174"/>
      <x:c r="E35" s="174"/>
      <x:c r="F35" s="174"/>
      <x:c r="G35" s="174"/>
      <x:c r="H35" s="174"/>
      <x:c r="I35" s="174"/>
      <x:c r="J35" s="174"/>
      <x:c r="K35" s="174"/>
      <x:c r="L35" s="174"/>
      <x:c r="M35" s="174"/>
      <x:c r="N35" s="174"/>
      <x:c r="O35" s="174"/>
      <x:c r="P35" s="174"/>
      <x:c r="Q35" s="174"/>
    </x:row>
    <x:row r="36">
      <x:c r="A36" s="174" t="str">
        <x:v>Forecast Monthly Interest</x:v>
      </x:c>
      <x:c r="B36" s="272" t="n">
        <x:f>SUMIF(B5:M5,"Actual",B21:M21)/Planning_Assumptions!$B$9</x:f>
        <x:v>0.0234</x:v>
      </x:c>
      <x:c r="C36" s="174" t="str">
        <x:v>Trailing actual monthly average</x:v>
      </x:c>
      <x:c r="D36" s="174"/>
      <x:c r="E36" s="174"/>
      <x:c r="F36" s="174"/>
      <x:c r="G36" s="174"/>
      <x:c r="H36" s="174"/>
      <x:c r="I36" s="174"/>
      <x:c r="J36" s="174"/>
      <x:c r="K36" s="174"/>
      <x:c r="L36" s="174"/>
      <x:c r="M36" s="174"/>
      <x:c r="N36" s="174"/>
      <x:c r="O36" s="174"/>
      <x:c r="P36" s="174"/>
      <x:c r="Q36" s="174"/>
    </x:row>
  </x:sheetData>
  <x:mergeCells>
    <x:mergeCell ref="A1:Q1"/>
    <x:mergeCell ref="A2:Q2"/>
    <x:mergeCell ref="A28:D28"/>
  </x:mergeCells>
  <x:conditionalFormatting sqref="B5:M5">
    <x:cfRule type="expression" dxfId="6" priority="1">
      <x:formula>B5="Actual"</x:formula>
    </x:cfRule>
    <x:cfRule type="expression" dxfId="7" priority="2">
      <x:formula>B5="Forecast"</x:formula>
    </x:cfRule>
    <x:cfRule type="expression" dxfId="54" priority="3">
      <x:formula>B5="Actual"</x:formula>
    </x:cfRule>
    <x:cfRule type="expression" dxfId="55" priority="4">
      <x:formula>B5="Forecast"</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12" hidden="0" customWidth="1"/>
    <x:col min="3" max="3" width="13" hidden="0" customWidth="1"/>
    <x:col min="4" max="4" width="13" hidden="0" customWidth="1"/>
    <x:col min="5" max="5" width="13" hidden="0" customWidth="1"/>
    <x:col min="6" max="6" width="22" hidden="0" customWidth="1"/>
    <x:col min="7" max="7" width="16" hidden="0" customWidth="1"/>
    <x:col min="8" max="8" width="28" hidden="0" customWidth="1"/>
    <x:col min="9" max="9" width="14" hidden="0" customWidth="1"/>
    <x:col min="10" max="10" width="14" hidden="0" customWidth="1"/>
    <x:col min="11" max="11" width="15" hidden="0" customWidth="1"/>
    <x:col min="12" max="12" width="16" hidden="0" customWidth="1"/>
    <x:col min="13" max="13" width="13" hidden="0" customWidth="1"/>
    <x:col min="14" max="14" width="13" hidden="0" customWidth="1"/>
    <x:col min="15" max="15" width="22" hidden="0" customWidth="1"/>
  </x:cols>
  <x:sheetData>
    <x:row r="1" ht="24" customHeight="1">
      <x:c r="A1" s="243" t="str">
        <x:v>Budget vs Actual Variance Engine | FY2026 | v1.5.1</x:v>
      </x:c>
      <x:c r="B1" s="243"/>
      <x:c r="C1" s="243"/>
      <x:c r="D1" s="243"/>
      <x:c r="E1" s="243"/>
      <x:c r="F1" s="243"/>
      <x:c r="G1" s="243"/>
      <x:c r="H1" s="243"/>
      <x:c r="I1" s="243"/>
      <x:c r="J1" s="243"/>
      <x:c r="K1" s="243"/>
      <x:c r="L1" s="243"/>
      <x:c r="M1" s="243"/>
      <x:c r="N1" s="243"/>
      <x:c r="O1" s="243"/>
    </x:row>
    <x:row r="2">
      <x:c r="A2" s="179" t="str">
        <x:v>Actual months are controlled by Planning_Assumptions!Close Through. Materiality logic separates root-cause management reviews from downstream derived outcomes.</x:v>
      </x:c>
      <x:c r="B2" s="179"/>
      <x:c r="C2" s="179"/>
      <x:c r="D2" s="179"/>
      <x:c r="E2" s="179"/>
      <x:c r="F2" s="179"/>
      <x:c r="G2" s="179"/>
      <x:c r="H2" s="179"/>
      <x:c r="I2" s="179"/>
      <x:c r="J2" s="179"/>
      <x:c r="K2" s="179"/>
      <x:c r="L2" s="179"/>
      <x:c r="M2" s="179"/>
      <x:c r="N2" s="179"/>
      <x:c r="O2" s="179"/>
    </x:row>
    <x:row r="3">
      <x:c r="A3" s="174"/>
      <x:c r="B3" s="174"/>
      <x:c r="C3" s="174"/>
      <x:c r="D3" s="174"/>
      <x:c r="E3" s="174"/>
      <x:c r="F3" s="174"/>
      <x:c r="G3" s="174"/>
      <x:c r="H3" s="174"/>
      <x:c r="I3" s="174"/>
      <x:c r="J3" s="174"/>
      <x:c r="K3" s="174"/>
      <x:c r="L3" s="174"/>
      <x:c r="M3" s="174"/>
      <x:c r="N3" s="174"/>
      <x:c r="O3" s="174"/>
    </x:row>
    <x:row r="4" ht="32" customHeight="1">
      <x:c r="A4" s="229" t="str">
        <x:v>Month</x:v>
      </x:c>
      <x:c r="B4" s="229" t="str">
        <x:v>Status</x:v>
      </x:c>
      <x:c r="C4" s="229" t="str">
        <x:v>Revenue Budget</x:v>
      </x:c>
      <x:c r="D4" s="229" t="str">
        <x:v>Revenue Actual</x:v>
      </x:c>
      <x:c r="E4" s="229" t="str">
        <x:v>Rev $ Var</x:v>
      </x:c>
      <x:c r="F4" s="229" t="str">
        <x:v>Rev % Var</x:v>
      </x:c>
      <x:c r="G4" s="229" t="str">
        <x:v>EBITDA Budget</x:v>
      </x:c>
      <x:c r="H4" s="229" t="str">
        <x:v>EBITDA Actual</x:v>
      </x:c>
      <x:c r="I4" s="229" t="str">
        <x:v>EBITDA $ Var</x:v>
      </x:c>
      <x:c r="J4" s="229" t="str">
        <x:v>EBITDA % Var</x:v>
      </x:c>
      <x:c r="K4" s="229" t="str">
        <x:v>Net Income Budget</x:v>
      </x:c>
      <x:c r="L4" s="229" t="str">
        <x:v>Net Income Actual</x:v>
      </x:c>
      <x:c r="M4" s="229" t="str">
        <x:v>NI $ Var</x:v>
      </x:c>
      <x:c r="N4" s="229" t="str">
        <x:v>NI % Var</x:v>
      </x:c>
      <x:c r="O4" s="229" t="str">
        <x:v>Monthly Review Status</x:v>
      </x:c>
    </x:row>
    <x:row r="5">
      <x:c r="A5" s="290" t="n">
        <x:v>46023</x:v>
      </x:c>
      <x:c r="B5" s="174" t="str">
        <x:f>Rolling_Forecast!B5</x:f>
        <x:v>Actual</x:v>
      </x:c>
      <x:c r="C5" s="278" t="n">
        <x:f>Budget_2026!B7</x:f>
        <x:v>1.4016</x:v>
      </x:c>
      <x:c r="D5" s="278" t="n">
        <x:f>IF(B5="Actual",Rolling_Forecast!B7,"")</x:f>
        <x:v>1.42</x:v>
      </x:c>
      <x:c r="E5" s="278" t="n">
        <x:f>IF(B5="Actual",D5-C5,"")</x:f>
        <x:v>0.018399999999999972</x:v>
      </x:c>
      <x:c r="F5" s="102" t="n">
        <x:f>IF(B5="Actual",IF(C5=0,0,E5/C5),"")</x:f>
        <x:v>0.013127853881278519</x:v>
      </x:c>
      <x:c r="G5" s="278" t="n">
        <x:f>Budget_2026!B16</x:f>
        <x:v>0.12614399999999992</x:v>
      </x:c>
      <x:c r="H5" s="278" t="n">
        <x:f>IF(B5="Actual",Rolling_Forecast!B16,"")</x:f>
        <x:v>0.1704</x:v>
      </x:c>
      <x:c r="I5" s="278" t="n">
        <x:f>IF(B5="Actual",H5-G5,"")</x:f>
        <x:v>0.04425600000000007</x:v>
      </x:c>
      <x:c r="J5" s="102" t="n">
        <x:f>IF(B5="Actual",IF(G5=0,0,I5/G5),"")</x:f>
        <x:v>0.35083713850837217</x:v>
      </x:c>
      <x:c r="K5" s="278" t="n">
        <x:f>Budget_2026!B24</x:f>
        <x:v>0.05358399999999994</x:v>
      </x:c>
      <x:c r="L5" s="278" t="n">
        <x:f>IF(B5="Actual",Rolling_Forecast!B24,"")</x:f>
        <x:v>0.090525</x:v>
      </x:c>
      <x:c r="M5" s="278" t="n">
        <x:f>IF(B5="Actual",L5-K5,"")</x:f>
        <x:v>0.03694100000000006</x:v>
      </x:c>
      <x:c r="N5" s="102" t="n">
        <x:f>IF(B5="Actual",IF(K5=0,0,M5/K5),"")</x:f>
        <x:v>0.6894035532994942</x:v>
      </x:c>
      <x:c r="O5" s="551" t="str">
        <x:f>IF(B5&lt;&gt;"Actual","",IF(AND(OR(AND(AND(ABS(E5)&gt;=Planning_Assumptions!$B$7,ABS(F5)&gt;=Planning_Assumptions!$B$8),E5&gt;0),AND(AND(ABS(I5)&gt;=Planning_Assumptions!$B$7,ABS(J5)&gt;=Planning_Assumptions!$B$8),I5&gt;0),AND(AND(ABS(M5)&gt;=Planning_Assumptions!$B$7,ABS(N5)&gt;=Planning_Assumptions!$B$8),M5&gt;0)),OR(AND(AND(ABS(E5)&gt;=Planning_Assumptions!$B$7,ABS(F5)&gt;=Planning_Assumptions!$B$8),E5&lt;0),AND(AND(ABS(I5)&gt;=Planning_Assumptions!$B$7,ABS(J5)&gt;=Planning_Assumptions!$B$8),I5&lt;0),AND(AND(ABS(M5)&gt;=Planning_Assumptions!$B$7,ABS(N5)&gt;=Planning_Assumptions!$B$8),M5&lt;0))),"MIXED — REVIEW",IF(OR(AND(AND(ABS(E5)&gt;=Planning_Assumptions!$B$7,ABS(F5)&gt;=Planning_Assumptions!$B$8),E5&gt;0),AND(AND(ABS(I5)&gt;=Planning_Assumptions!$B$7,ABS(J5)&gt;=Planning_Assumptions!$B$8),I5&gt;0),AND(AND(ABS(M5)&gt;=Planning_Assumptions!$B$7,ABS(N5)&gt;=Planning_Assumptions!$B$8),M5&gt;0)),"FAVORABLE — REVIEW",IF(OR(AND(AND(ABS(E5)&gt;=Planning_Assumptions!$B$7,ABS(F5)&gt;=Planning_Assumptions!$B$8),E5&lt;0),AND(AND(ABS(I5)&gt;=Planning_Assumptions!$B$7,ABS(J5)&gt;=Planning_Assumptions!$B$8),I5&lt;0),AND(AND(ABS(M5)&gt;=Planning_Assumptions!$B$7,ABS(N5)&gt;=Planning_Assumptions!$B$8),M5&lt;0)),"UNFAVORABLE — REVIEW","OK"))))</x:f>
        <x:v>OK</x:v>
      </x:c>
    </x:row>
    <x:row r="6">
      <x:c r="A6" s="290" t="n">
        <x:v>46054</x:v>
      </x:c>
      <x:c r="B6" s="174" t="str">
        <x:f>Rolling_Forecast!C5</x:f>
        <x:v>Actual</x:v>
      </x:c>
      <x:c r="C6" s="278" t="n">
        <x:f>Budget_2026!C7</x:f>
        <x:v>1.44</x:v>
      </x:c>
      <x:c r="D6" s="278" t="n">
        <x:f>IF(B6="Actual",Rolling_Forecast!C7,"")</x:f>
        <x:v>1.46</x:v>
      </x:c>
      <x:c r="E6" s="278" t="n">
        <x:f>IF(B6="Actual",D6-C6,"")</x:f>
        <x:v>0.020000000000000018</x:v>
      </x:c>
      <x:c r="F6" s="102" t="n">
        <x:f>IF(B6="Actual",IF(C6=0,0,E6/C6),"")</x:f>
        <x:v>0.013888888888888902</x:v>
      </x:c>
      <x:c r="G6" s="278" t="n">
        <x:f>Budget_2026!C16</x:f>
        <x:v>0.12960000000000005</x:v>
      </x:c>
      <x:c r="H6" s="278" t="n">
        <x:f>IF(B6="Actual",Rolling_Forecast!C16,"")</x:f>
        <x:v>0.17520000000000002</x:v>
      </x:c>
      <x:c r="I6" s="278" t="n">
        <x:f>IF(B6="Actual",H6-G6,"")</x:f>
        <x:v>0.045599999999999974</x:v>
      </x:c>
      <x:c r="J6" s="102" t="n">
        <x:f>IF(B6="Actual",IF(G6=0,0,I6/G6),"")</x:f>
        <x:v>0.3518518518518515</x:v>
      </x:c>
      <x:c r="K6" s="278" t="n">
        <x:f>Budget_2026!C24</x:f>
        <x:v>0.05560000000000004</x:v>
      </x:c>
      <x:c r="L6" s="278" t="n">
        <x:f>IF(B6="Actual",Rolling_Forecast!C24,"")</x:f>
        <x:v>0.09307500000000002</x:v>
      </x:c>
      <x:c r="M6" s="278" t="n">
        <x:f>IF(B6="Actual",L6-K6,"")</x:f>
        <x:v>0.03747499999999998</x:v>
      </x:c>
      <x:c r="N6" s="102" t="n">
        <x:f>IF(B6="Actual",IF(K6=0,0,M6/K6),"")</x:f>
        <x:v>0.6740107913669057</x:v>
      </x:c>
      <x:c r="O6" s="551" t="str">
        <x:f>IF(B6&lt;&gt;"Actual","",IF(AND(OR(AND(AND(ABS(E6)&gt;=Planning_Assumptions!$B$7,ABS(F6)&gt;=Planning_Assumptions!$B$8),E6&gt;0),AND(AND(ABS(I6)&gt;=Planning_Assumptions!$B$7,ABS(J6)&gt;=Planning_Assumptions!$B$8),I6&gt;0),AND(AND(ABS(M6)&gt;=Planning_Assumptions!$B$7,ABS(N6)&gt;=Planning_Assumptions!$B$8),M6&gt;0)),OR(AND(AND(ABS(E6)&gt;=Planning_Assumptions!$B$7,ABS(F6)&gt;=Planning_Assumptions!$B$8),E6&lt;0),AND(AND(ABS(I6)&gt;=Planning_Assumptions!$B$7,ABS(J6)&gt;=Planning_Assumptions!$B$8),I6&lt;0),AND(AND(ABS(M6)&gt;=Planning_Assumptions!$B$7,ABS(N6)&gt;=Planning_Assumptions!$B$8),M6&lt;0))),"MIXED — REVIEW",IF(OR(AND(AND(ABS(E6)&gt;=Planning_Assumptions!$B$7,ABS(F6)&gt;=Planning_Assumptions!$B$8),E6&gt;0),AND(AND(ABS(I6)&gt;=Planning_Assumptions!$B$7,ABS(J6)&gt;=Planning_Assumptions!$B$8),I6&gt;0),AND(AND(ABS(M6)&gt;=Planning_Assumptions!$B$7,ABS(N6)&gt;=Planning_Assumptions!$B$8),M6&gt;0)),"FAVORABLE — REVIEW",IF(OR(AND(AND(ABS(E6)&gt;=Planning_Assumptions!$B$7,ABS(F6)&gt;=Planning_Assumptions!$B$8),E6&lt;0),AND(AND(ABS(I6)&gt;=Planning_Assumptions!$B$7,ABS(J6)&gt;=Planning_Assumptions!$B$8),I6&lt;0),AND(AND(ABS(M6)&gt;=Planning_Assumptions!$B$7,ABS(N6)&gt;=Planning_Assumptions!$B$8),M6&lt;0)),"UNFAVORABLE — REVIEW","OK"))))</x:f>
        <x:v>OK</x:v>
      </x:c>
    </x:row>
    <x:row r="7">
      <x:c r="A7" s="290" t="n">
        <x:v>46082</x:v>
      </x:c>
      <x:c r="B7" s="174" t="str">
        <x:f>Rolling_Forecast!D5</x:f>
        <x:v>Actual</x:v>
      </x:c>
      <x:c r="C7" s="278" t="n">
        <x:f>Budget_2026!D7</x:f>
        <x:v>1.4784</x:v>
      </x:c>
      <x:c r="D7" s="278" t="n">
        <x:f>IF(B7="Actual",Rolling_Forecast!D7,"")</x:f>
        <x:v>1.5</x:v>
      </x:c>
      <x:c r="E7" s="278" t="n">
        <x:f>IF(B7="Actual",D7-C7,"")</x:f>
        <x:v>0.021600000000000064</x:v>
      </x:c>
      <x:c r="F7" s="102" t="n">
        <x:f>IF(B7="Actual",IF(C7=0,0,E7/C7),"")</x:f>
        <x:v>0.014610389610389653</x:v>
      </x:c>
      <x:c r="G7" s="278" t="n">
        <x:f>Budget_2026!D16</x:f>
        <x:v>0.13305599999999984</x:v>
      </x:c>
      <x:c r="H7" s="278" t="n">
        <x:f>IF(B7="Actual",Rolling_Forecast!D16,"")</x:f>
        <x:v>0.18000000000000005</x:v>
      </x:c>
      <x:c r="I7" s="278" t="n">
        <x:f>IF(B7="Actual",H7-G7,"")</x:f>
        <x:v>0.04694400000000021</x:v>
      </x:c>
      <x:c r="J7" s="102" t="n">
        <x:f>IF(B7="Actual",IF(G7=0,0,I7/G7),"")</x:f>
        <x:v>0.3528138528138548</x:v>
      </x:c>
      <x:c r="K7" s="278" t="n">
        <x:f>Budget_2026!D24</x:f>
        <x:v>0.057615999999999876</x:v>
      </x:c>
      <x:c r="L7" s="278" t="n">
        <x:f>IF(B7="Actual",Rolling_Forecast!D24,"")</x:f>
        <x:v>0.09562500000000006</x:v>
      </x:c>
      <x:c r="M7" s="278" t="n">
        <x:f>IF(B7="Actual",L7-K7,"")</x:f>
        <x:v>0.03800900000000018</x:v>
      </x:c>
      <x:c r="N7" s="102" t="n">
        <x:f>IF(B7="Actual",IF(K7=0,0,M7/K7),"")</x:f>
        <x:v>0.6596952235490188</x:v>
      </x:c>
      <x:c r="O7" s="551" t="str">
        <x:f>IF(B7&lt;&gt;"Actual","",IF(AND(OR(AND(AND(ABS(E7)&gt;=Planning_Assumptions!$B$7,ABS(F7)&gt;=Planning_Assumptions!$B$8),E7&gt;0),AND(AND(ABS(I7)&gt;=Planning_Assumptions!$B$7,ABS(J7)&gt;=Planning_Assumptions!$B$8),I7&gt;0),AND(AND(ABS(M7)&gt;=Planning_Assumptions!$B$7,ABS(N7)&gt;=Planning_Assumptions!$B$8),M7&gt;0)),OR(AND(AND(ABS(E7)&gt;=Planning_Assumptions!$B$7,ABS(F7)&gt;=Planning_Assumptions!$B$8),E7&lt;0),AND(AND(ABS(I7)&gt;=Planning_Assumptions!$B$7,ABS(J7)&gt;=Planning_Assumptions!$B$8),I7&lt;0),AND(AND(ABS(M7)&gt;=Planning_Assumptions!$B$7,ABS(N7)&gt;=Planning_Assumptions!$B$8),M7&lt;0))),"MIXED — REVIEW",IF(OR(AND(AND(ABS(E7)&gt;=Planning_Assumptions!$B$7,ABS(F7)&gt;=Planning_Assumptions!$B$8),E7&gt;0),AND(AND(ABS(I7)&gt;=Planning_Assumptions!$B$7,ABS(J7)&gt;=Planning_Assumptions!$B$8),I7&gt;0),AND(AND(ABS(M7)&gt;=Planning_Assumptions!$B$7,ABS(N7)&gt;=Planning_Assumptions!$B$8),M7&gt;0)),"FAVORABLE — REVIEW",IF(OR(AND(AND(ABS(E7)&gt;=Planning_Assumptions!$B$7,ABS(F7)&gt;=Planning_Assumptions!$B$8),E7&lt;0),AND(AND(ABS(I7)&gt;=Planning_Assumptions!$B$7,ABS(J7)&gt;=Planning_Assumptions!$B$8),I7&lt;0),AND(AND(ABS(M7)&gt;=Planning_Assumptions!$B$7,ABS(N7)&gt;=Planning_Assumptions!$B$8),M7&lt;0)),"UNFAVORABLE — REVIEW","OK"))))</x:f>
        <x:v>OK</x:v>
      </x:c>
    </x:row>
    <x:row r="8">
      <x:c r="A8" s="290" t="n">
        <x:v>46113</x:v>
      </x:c>
      <x:c r="B8" s="174" t="str">
        <x:f>Rolling_Forecast!E5</x:f>
        <x:v>Actual</x:v>
      </x:c>
      <x:c r="C8" s="278" t="n">
        <x:f>Budget_2026!E7</x:f>
        <x:v>1.4976</x:v>
      </x:c>
      <x:c r="D8" s="278" t="n">
        <x:f>IF(B8="Actual",Rolling_Forecast!E7,"")</x:f>
        <x:v>1.54</x:v>
      </x:c>
      <x:c r="E8" s="278" t="n">
        <x:f>IF(B8="Actual",D8-C8,"")</x:f>
        <x:v>0.04239999999999999</x:v>
      </x:c>
      <x:c r="F8" s="102" t="n">
        <x:f>IF(B8="Actual",IF(C8=0,0,E8/C8),"")</x:f>
        <x:v>0.028311965811965805</x:v>
      </x:c>
      <x:c r="G8" s="278" t="n">
        <x:f>Budget_2026!E16</x:f>
        <x:v>0.13478400000000013</x:v>
      </x:c>
      <x:c r="H8" s="278" t="n">
        <x:f>IF(B8="Actual",Rolling_Forecast!E16,"")</x:f>
        <x:v>0.18479999999999996</x:v>
      </x:c>
      <x:c r="I8" s="278" t="n">
        <x:f>IF(B8="Actual",H8-G8,"")</x:f>
        <x:v>0.05001599999999984</x:v>
      </x:c>
      <x:c r="J8" s="102" t="n">
        <x:f>IF(B8="Actual",IF(G8=0,0,I8/G8),"")</x:f>
        <x:v>0.3710826210826195</x:v>
      </x:c>
      <x:c r="K8" s="278" t="n">
        <x:f>Budget_2026!E24</x:f>
        <x:v>0.058624000000000086</x:v>
      </x:c>
      <x:c r="L8" s="278" t="n">
        <x:f>IF(B8="Actual",Rolling_Forecast!E24,"")</x:f>
        <x:v>0.09817499999999996</x:v>
      </x:c>
      <x:c r="M8" s="278" t="n">
        <x:f>IF(B8="Actual",L8-K8,"")</x:f>
        <x:v>0.03955099999999987</x:v>
      </x:c>
      <x:c r="N8" s="102" t="n">
        <x:f>IF(B8="Actual",IF(K8=0,0,M8/K8),"")</x:f>
        <x:v>0.6746554312227042</x:v>
      </x:c>
      <x:c r="O8" s="551" t="str">
        <x:f>IF(B8&lt;&gt;"Actual","",IF(AND(OR(AND(AND(ABS(E8)&gt;=Planning_Assumptions!$B$7,ABS(F8)&gt;=Planning_Assumptions!$B$8),E8&gt;0),AND(AND(ABS(I8)&gt;=Planning_Assumptions!$B$7,ABS(J8)&gt;=Planning_Assumptions!$B$8),I8&gt;0),AND(AND(ABS(M8)&gt;=Planning_Assumptions!$B$7,ABS(N8)&gt;=Planning_Assumptions!$B$8),M8&gt;0)),OR(AND(AND(ABS(E8)&gt;=Planning_Assumptions!$B$7,ABS(F8)&gt;=Planning_Assumptions!$B$8),E8&lt;0),AND(AND(ABS(I8)&gt;=Planning_Assumptions!$B$7,ABS(J8)&gt;=Planning_Assumptions!$B$8),I8&lt;0),AND(AND(ABS(M8)&gt;=Planning_Assumptions!$B$7,ABS(N8)&gt;=Planning_Assumptions!$B$8),M8&lt;0))),"MIXED — REVIEW",IF(OR(AND(AND(ABS(E8)&gt;=Planning_Assumptions!$B$7,ABS(F8)&gt;=Planning_Assumptions!$B$8),E8&gt;0),AND(AND(ABS(I8)&gt;=Planning_Assumptions!$B$7,ABS(J8)&gt;=Planning_Assumptions!$B$8),I8&gt;0),AND(AND(ABS(M8)&gt;=Planning_Assumptions!$B$7,ABS(N8)&gt;=Planning_Assumptions!$B$8),M8&gt;0)),"FAVORABLE — REVIEW",IF(OR(AND(AND(ABS(E8)&gt;=Planning_Assumptions!$B$7,ABS(F8)&gt;=Planning_Assumptions!$B$8),E8&lt;0),AND(AND(ABS(I8)&gt;=Planning_Assumptions!$B$7,ABS(J8)&gt;=Planning_Assumptions!$B$8),I8&lt;0),AND(AND(ABS(M8)&gt;=Planning_Assumptions!$B$7,ABS(N8)&gt;=Planning_Assumptions!$B$8),M8&lt;0)),"UNFAVORABLE — REVIEW","OK"))))</x:f>
        <x:v>OK</x:v>
      </x:c>
    </x:row>
    <x:row r="9">
      <x:c r="A9" s="290" t="n">
        <x:v>46143</x:v>
      </x:c>
      <x:c r="B9" s="174" t="str">
        <x:f>Rolling_Forecast!F5</x:f>
        <x:v>Actual</x:v>
      </x:c>
      <x:c r="C9" s="278" t="n">
        <x:f>Budget_2026!F7</x:f>
        <x:v>1.536</x:v>
      </x:c>
      <x:c r="D9" s="278" t="n">
        <x:f>IF(B9="Actual",Rolling_Forecast!F7,"")</x:f>
        <x:v>1.58</x:v>
      </x:c>
      <x:c r="E9" s="278" t="n">
        <x:f>IF(B9="Actual",D9-C9,"")</x:f>
        <x:v>0.04400000000000004</x:v>
      </x:c>
      <x:c r="F9" s="102" t="n">
        <x:f>IF(B9="Actual",IF(C9=0,0,E9/C9),"")</x:f>
        <x:v>0.028645833333333356</x:v>
      </x:c>
      <x:c r="G9" s="278" t="n">
        <x:f>Budget_2026!F16</x:f>
        <x:v>0.1382399999999997</x:v>
      </x:c>
      <x:c r="H9" s="278" t="n">
        <x:f>IF(B9="Actual",Rolling_Forecast!F16,"")</x:f>
        <x:v>0.1896000000000001</x:v>
      </x:c>
      <x:c r="I9" s="278" t="n">
        <x:f>IF(B9="Actual",H9-G9,"")</x:f>
        <x:v>0.051360000000000405</x:v>
      </x:c>
      <x:c r="J9" s="102" t="n">
        <x:f>IF(B9="Actual",IF(G9=0,0,I9/G9),"")</x:f>
        <x:v>0.3715277777777815</x:v>
      </x:c>
      <x:c r="K9" s="278" t="n">
        <x:f>Budget_2026!F24</x:f>
        <x:v>0.06063999999999977</x:v>
      </x:c>
      <x:c r="L9" s="278" t="n">
        <x:f>IF(B9="Actual",Rolling_Forecast!F24,"")</x:f>
        <x:v>0.10072500000000009</x:v>
      </x:c>
      <x:c r="M9" s="278" t="n">
        <x:f>IF(B9="Actual",L9-K9,"")</x:f>
        <x:v>0.04008500000000032</x:v>
      </x:c>
      <x:c r="N9" s="102" t="n">
        <x:f>IF(B9="Actual",IF(K9=0,0,M9/K9),"")</x:f>
        <x:v>0.6610323218997439</x:v>
      </x:c>
      <x:c r="O9" s="551" t="str">
        <x:f>IF(B9&lt;&gt;"Actual","",IF(AND(OR(AND(AND(ABS(E9)&gt;=Planning_Assumptions!$B$7,ABS(F9)&gt;=Planning_Assumptions!$B$8),E9&gt;0),AND(AND(ABS(I9)&gt;=Planning_Assumptions!$B$7,ABS(J9)&gt;=Planning_Assumptions!$B$8),I9&gt;0),AND(AND(ABS(M9)&gt;=Planning_Assumptions!$B$7,ABS(N9)&gt;=Planning_Assumptions!$B$8),M9&gt;0)),OR(AND(AND(ABS(E9)&gt;=Planning_Assumptions!$B$7,ABS(F9)&gt;=Planning_Assumptions!$B$8),E9&lt;0),AND(AND(ABS(I9)&gt;=Planning_Assumptions!$B$7,ABS(J9)&gt;=Planning_Assumptions!$B$8),I9&lt;0),AND(AND(ABS(M9)&gt;=Planning_Assumptions!$B$7,ABS(N9)&gt;=Planning_Assumptions!$B$8),M9&lt;0))),"MIXED — REVIEW",IF(OR(AND(AND(ABS(E9)&gt;=Planning_Assumptions!$B$7,ABS(F9)&gt;=Planning_Assumptions!$B$8),E9&gt;0),AND(AND(ABS(I9)&gt;=Planning_Assumptions!$B$7,ABS(J9)&gt;=Planning_Assumptions!$B$8),I9&gt;0),AND(AND(ABS(M9)&gt;=Planning_Assumptions!$B$7,ABS(N9)&gt;=Planning_Assumptions!$B$8),M9&gt;0)),"FAVORABLE — REVIEW",IF(OR(AND(AND(ABS(E9)&gt;=Planning_Assumptions!$B$7,ABS(F9)&gt;=Planning_Assumptions!$B$8),E9&lt;0),AND(AND(ABS(I9)&gt;=Planning_Assumptions!$B$7,ABS(J9)&gt;=Planning_Assumptions!$B$8),I9&lt;0),AND(AND(ABS(M9)&gt;=Planning_Assumptions!$B$7,ABS(N9)&gt;=Planning_Assumptions!$B$8),M9&lt;0)),"UNFAVORABLE — REVIEW","OK"))))</x:f>
        <x:v>OK</x:v>
      </x:c>
    </x:row>
    <x:row r="10">
      <x:c r="A10" s="290" t="n">
        <x:v>46174</x:v>
      </x:c>
      <x:c r="B10" s="174" t="str">
        <x:f>Rolling_Forecast!G5</x:f>
        <x:v>Actual</x:v>
      </x:c>
      <x:c r="C10" s="278" t="n">
        <x:f>Budget_2026!G7</x:f>
        <x:v>1.5552</x:v>
      </x:c>
      <x:c r="D10" s="278" t="n">
        <x:f>IF(B10="Actual",Rolling_Forecast!G7,"")</x:f>
        <x:v>1.62</x:v>
      </x:c>
      <x:c r="E10" s="278" t="n">
        <x:f>IF(B10="Actual",D10-C10,"")</x:f>
        <x:v>0.06480000000000019</x:v>
      </x:c>
      <x:c r="F10" s="102" t="n">
        <x:f>IF(B10="Actual",IF(C10=0,0,E10/C10),"")</x:f>
        <x:v>0.04166666666666679</x:v>
      </x:c>
      <x:c r="G10" s="278" t="n">
        <x:f>Budget_2026!G16</x:f>
        <x:v>0.13996799999999987</x:v>
      </x:c>
      <x:c r="H10" s="278" t="n">
        <x:f>IF(B10="Actual",Rolling_Forecast!G16,"")</x:f>
        <x:v>0.19440000000000013</x:v>
      </x:c>
      <x:c r="I10" s="278" t="n">
        <x:f>IF(B10="Actual",H10-G10,"")</x:f>
        <x:v>0.05443200000000026</x:v>
      </x:c>
      <x:c r="J10" s="102" t="n">
        <x:f>IF(B10="Actual",IF(G10=0,0,I10/G10),"")</x:f>
        <x:v>0.3888888888888911</x:v>
      </x:c>
      <x:c r="K10" s="278" t="n">
        <x:f>Budget_2026!G24</x:f>
        <x:v>0.061647999999999904</x:v>
      </x:c>
      <x:c r="L10" s="278" t="n">
        <x:f>IF(B10="Actual",Rolling_Forecast!G24,"")</x:f>
        <x:v>0.10327500000000016</x:v>
      </x:c>
      <x:c r="M10" s="278" t="n">
        <x:f>IF(B10="Actual",L10-K10,"")</x:f>
        <x:v>0.041627000000000254</x:v>
      </x:c>
      <x:c r="N10" s="102" t="n">
        <x:f>IF(B10="Actual",IF(K10=0,0,M10/K10),"")</x:f>
        <x:v>0.6752368284453724</x:v>
      </x:c>
      <x:c r="O10" s="551" t="str">
        <x:f>IF(B10&lt;&gt;"Actual","",IF(AND(OR(AND(AND(ABS(E10)&gt;=Planning_Assumptions!$B$7,ABS(F10)&gt;=Planning_Assumptions!$B$8),E10&gt;0),AND(AND(ABS(I10)&gt;=Planning_Assumptions!$B$7,ABS(J10)&gt;=Planning_Assumptions!$B$8),I10&gt;0),AND(AND(ABS(M10)&gt;=Planning_Assumptions!$B$7,ABS(N10)&gt;=Planning_Assumptions!$B$8),M10&gt;0)),OR(AND(AND(ABS(E10)&gt;=Planning_Assumptions!$B$7,ABS(F10)&gt;=Planning_Assumptions!$B$8),E10&lt;0),AND(AND(ABS(I10)&gt;=Planning_Assumptions!$B$7,ABS(J10)&gt;=Planning_Assumptions!$B$8),I10&lt;0),AND(AND(ABS(M10)&gt;=Planning_Assumptions!$B$7,ABS(N10)&gt;=Planning_Assumptions!$B$8),M10&lt;0))),"MIXED — REVIEW",IF(OR(AND(AND(ABS(E10)&gt;=Planning_Assumptions!$B$7,ABS(F10)&gt;=Planning_Assumptions!$B$8),E10&gt;0),AND(AND(ABS(I10)&gt;=Planning_Assumptions!$B$7,ABS(J10)&gt;=Planning_Assumptions!$B$8),I10&gt;0),AND(AND(ABS(M10)&gt;=Planning_Assumptions!$B$7,ABS(N10)&gt;=Planning_Assumptions!$B$8),M10&gt;0)),"FAVORABLE — REVIEW",IF(OR(AND(AND(ABS(E10)&gt;=Planning_Assumptions!$B$7,ABS(F10)&gt;=Planning_Assumptions!$B$8),E10&lt;0),AND(AND(ABS(I10)&gt;=Planning_Assumptions!$B$7,ABS(J10)&gt;=Planning_Assumptions!$B$8),I10&lt;0),AND(AND(ABS(M10)&gt;=Planning_Assumptions!$B$7,ABS(N10)&gt;=Planning_Assumptions!$B$8),M10&lt;0)),"UNFAVORABLE — REVIEW","OK"))))</x:f>
        <x:v>OK</x:v>
      </x:c>
    </x:row>
    <x:row r="11">
      <x:c r="A11" s="290" t="n">
        <x:v>46204</x:v>
      </x:c>
      <x:c r="B11" s="174" t="str">
        <x:f>Rolling_Forecast!H5</x:f>
        <x:v>Actual</x:v>
      </x:c>
      <x:c r="C11" s="278" t="n">
        <x:f>Budget_2026!H7</x:f>
        <x:v>1.5744</x:v>
      </x:c>
      <x:c r="D11" s="278" t="n">
        <x:f>IF(B11="Actual",Rolling_Forecast!H7,"")</x:f>
        <x:v>1.66</x:v>
      </x:c>
      <x:c r="E11" s="278" t="n">
        <x:f>IF(B11="Actual",D11-C11,"")</x:f>
        <x:v>0.0855999999999999</x:v>
      </x:c>
      <x:c r="F11" s="102" t="n">
        <x:f>IF(B11="Actual",IF(C11=0,0,E11/C11),"")</x:f>
        <x:v>0.05436991869918693</x:v>
      </x:c>
      <x:c r="G11" s="278" t="n">
        <x:f>Budget_2026!H16</x:f>
        <x:v>0.14169599999999982</x:v>
      </x:c>
      <x:c r="H11" s="278" t="n">
        <x:f>IF(B11="Actual",Rolling_Forecast!H16,"")</x:f>
        <x:v>0.19920000000000004</x:v>
      </x:c>
      <x:c r="I11" s="278" t="n">
        <x:f>IF(B11="Actual",H11-G11,"")</x:f>
        <x:v>0.05750400000000022</x:v>
      </x:c>
      <x:c r="J11" s="102" t="n">
        <x:f>IF(B11="Actual",IF(G11=0,0,I11/G11),"")</x:f>
        <x:v>0.4058265582655847</x:v>
      </x:c>
      <x:c r="K11" s="278" t="n">
        <x:f>Budget_2026!H24</x:f>
        <x:v>0.06265599999999986</x:v>
      </x:c>
      <x:c r="L11" s="278" t="n">
        <x:f>IF(B11="Actual",Rolling_Forecast!H24,"")</x:f>
        <x:v>0.10582500000000003</x:v>
      </x:c>
      <x:c r="M11" s="278" t="n">
        <x:f>IF(B11="Actual",L11-K11,"")</x:f>
        <x:v>0.043169000000000166</x:v>
      </x:c>
      <x:c r="N11" s="102" t="n">
        <x:f>IF(B11="Actual",IF(K11=0,0,M11/K11),"")</x:f>
        <x:v>0.688984295199187</x:v>
      </x:c>
      <x:c r="O11" s="551" t="str">
        <x:f>IF(B11&lt;&gt;"Actual","",IF(AND(OR(AND(AND(ABS(E11)&gt;=Planning_Assumptions!$B$7,ABS(F11)&gt;=Planning_Assumptions!$B$8),E11&gt;0),AND(AND(ABS(I11)&gt;=Planning_Assumptions!$B$7,ABS(J11)&gt;=Planning_Assumptions!$B$8),I11&gt;0),AND(AND(ABS(M11)&gt;=Planning_Assumptions!$B$7,ABS(N11)&gt;=Planning_Assumptions!$B$8),M11&gt;0)),OR(AND(AND(ABS(E11)&gt;=Planning_Assumptions!$B$7,ABS(F11)&gt;=Planning_Assumptions!$B$8),E11&lt;0),AND(AND(ABS(I11)&gt;=Planning_Assumptions!$B$7,ABS(J11)&gt;=Planning_Assumptions!$B$8),I11&lt;0),AND(AND(ABS(M11)&gt;=Planning_Assumptions!$B$7,ABS(N11)&gt;=Planning_Assumptions!$B$8),M11&lt;0))),"MIXED — REVIEW",IF(OR(AND(AND(ABS(E11)&gt;=Planning_Assumptions!$B$7,ABS(F11)&gt;=Planning_Assumptions!$B$8),E11&gt;0),AND(AND(ABS(I11)&gt;=Planning_Assumptions!$B$7,ABS(J11)&gt;=Planning_Assumptions!$B$8),I11&gt;0),AND(AND(ABS(M11)&gt;=Planning_Assumptions!$B$7,ABS(N11)&gt;=Planning_Assumptions!$B$8),M11&gt;0)),"FAVORABLE — REVIEW",IF(OR(AND(AND(ABS(E11)&gt;=Planning_Assumptions!$B$7,ABS(F11)&gt;=Planning_Assumptions!$B$8),E11&lt;0),AND(AND(ABS(I11)&gt;=Planning_Assumptions!$B$7,ABS(J11)&gt;=Planning_Assumptions!$B$8),I11&lt;0),AND(AND(ABS(M11)&gt;=Planning_Assumptions!$B$7,ABS(N11)&gt;=Planning_Assumptions!$B$8),M11&lt;0)),"UNFAVORABLE — REVIEW","OK"))))</x:f>
        <x:v>OK</x:v>
      </x:c>
    </x:row>
    <x:row r="12">
      <x:c r="A12" s="290" t="n">
        <x:v>46235</x:v>
      </x:c>
      <x:c r="B12" s="174" t="str">
        <x:f>Rolling_Forecast!I5</x:f>
        <x:v>Actual</x:v>
      </x:c>
      <x:c r="C12" s="278" t="n">
        <x:f>Budget_2026!I7</x:f>
        <x:v>1.5936000000000001</x:v>
      </x:c>
      <x:c r="D12" s="278" t="n">
        <x:f>IF(B12="Actual",Rolling_Forecast!I7,"")</x:f>
        <x:v>1.7</x:v>
      </x:c>
      <x:c r="E12" s="278" t="n">
        <x:f>IF(B12="Actual",D12-C12,"")</x:f>
        <x:v>0.10639999999999983</x:v>
      </x:c>
      <x:c r="F12" s="102" t="n">
        <x:f>IF(B12="Actual",IF(C12=0,0,E12/C12),"")</x:f>
        <x:v>0.06676706827309226</x:v>
      </x:c>
      <x:c r="G12" s="278" t="n">
        <x:f>Budget_2026!I16</x:f>
        <x:v>0.14342400000000022</x:v>
      </x:c>
      <x:c r="H12" s="278" t="n">
        <x:f>IF(B12="Actual",Rolling_Forecast!I16,"")</x:f>
        <x:v>0.20399999999999974</x:v>
      </x:c>
      <x:c r="I12" s="278" t="n">
        <x:f>IF(B12="Actual",H12-G12,"")</x:f>
        <x:v>0.06057599999999952</x:v>
      </x:c>
      <x:c r="J12" s="102" t="n">
        <x:f>IF(B12="Actual",IF(G12=0,0,I12/G12),"")</x:f>
        <x:v>0.4223560910307858</x:v>
      </x:c>
      <x:c r="K12" s="278" t="n">
        <x:f>Budget_2026!I24</x:f>
        <x:v>0.06366400000000015</x:v>
      </x:c>
      <x:c r="L12" s="278" t="n">
        <x:f>IF(B12="Actual",Rolling_Forecast!I24,"")</x:f>
        <x:v>0.10837499999999975</x:v>
      </x:c>
      <x:c r="M12" s="278" t="n">
        <x:f>IF(B12="Actual",L12-K12,"")</x:f>
        <x:v>0.0447109999999996</x:v>
      </x:c>
      <x:c r="N12" s="102" t="n">
        <x:f>IF(B12="Actual",IF(K12=0,0,M12/K12),"")</x:f>
        <x:v>0.7022964312641288</x:v>
      </x:c>
      <x:c r="O12" s="551" t="str">
        <x:f>IF(B12&lt;&gt;"Actual","",IF(AND(OR(AND(AND(ABS(E12)&gt;=Planning_Assumptions!$B$7,ABS(F12)&gt;=Planning_Assumptions!$B$8),E12&gt;0),AND(AND(ABS(I12)&gt;=Planning_Assumptions!$B$7,ABS(J12)&gt;=Planning_Assumptions!$B$8),I12&gt;0),AND(AND(ABS(M12)&gt;=Planning_Assumptions!$B$7,ABS(N12)&gt;=Planning_Assumptions!$B$8),M12&gt;0)),OR(AND(AND(ABS(E12)&gt;=Planning_Assumptions!$B$7,ABS(F12)&gt;=Planning_Assumptions!$B$8),E12&lt;0),AND(AND(ABS(I12)&gt;=Planning_Assumptions!$B$7,ABS(J12)&gt;=Planning_Assumptions!$B$8),I12&lt;0),AND(AND(ABS(M12)&gt;=Planning_Assumptions!$B$7,ABS(N12)&gt;=Planning_Assumptions!$B$8),M12&lt;0))),"MIXED — REVIEW",IF(OR(AND(AND(ABS(E12)&gt;=Planning_Assumptions!$B$7,ABS(F12)&gt;=Planning_Assumptions!$B$8),E12&gt;0),AND(AND(ABS(I12)&gt;=Planning_Assumptions!$B$7,ABS(J12)&gt;=Planning_Assumptions!$B$8),I12&gt;0),AND(AND(ABS(M12)&gt;=Planning_Assumptions!$B$7,ABS(N12)&gt;=Planning_Assumptions!$B$8),M12&gt;0)),"FAVORABLE — REVIEW",IF(OR(AND(AND(ABS(E12)&gt;=Planning_Assumptions!$B$7,ABS(F12)&gt;=Planning_Assumptions!$B$8),E12&lt;0),AND(AND(ABS(I12)&gt;=Planning_Assumptions!$B$7,ABS(J12)&gt;=Planning_Assumptions!$B$8),I12&lt;0),AND(AND(ABS(M12)&gt;=Planning_Assumptions!$B$7,ABS(N12)&gt;=Planning_Assumptions!$B$8),M12&lt;0)),"UNFAVORABLE — REVIEW","OK"))))</x:f>
        <x:v>FAVORABLE — REVIEW</x:v>
      </x:c>
    </x:row>
    <x:row r="13">
      <x:c r="A13" s="290" t="n">
        <x:v>46266</x:v>
      </x:c>
      <x:c r="B13" s="174" t="str">
        <x:f>Rolling_Forecast!J5</x:f>
        <x:v>Forecast</x:v>
      </x:c>
      <x:c r="C13" s="278" t="n">
        <x:f>Budget_2026!J7</x:f>
        <x:v>1.6320000000000001</x:v>
      </x:c>
      <x:c r="D13" s="278" t="str">
        <x:f>IF(B13="Actual",Rolling_Forecast!J7,"")</x:f>
      </x:c>
      <x:c r="E13" s="278" t="str">
        <x:f>IF(B13="Actual",D13-C13,"")</x:f>
      </x:c>
      <x:c r="F13" s="102" t="str">
        <x:f>IF(B13="Actual",IF(C13=0,0,E13/C13),"")</x:f>
      </x:c>
      <x:c r="G13" s="278" t="n">
        <x:f>Budget_2026!J16</x:f>
        <x:v>0.1468799999999999</x:v>
      </x:c>
      <x:c r="H13" s="278" t="str">
        <x:f>IF(B13="Actual",Rolling_Forecast!J16,"")</x:f>
      </x:c>
      <x:c r="I13" s="278" t="str">
        <x:f>IF(B13="Actual",H13-G13,"")</x:f>
      </x:c>
      <x:c r="J13" s="102" t="str">
        <x:f>IF(B13="Actual",IF(G13=0,0,I13/G13),"")</x:f>
      </x:c>
      <x:c r="K13" s="278" t="n">
        <x:f>Budget_2026!J24</x:f>
        <x:v>0.06567999999999992</x:v>
      </x:c>
      <x:c r="L13" s="278" t="str">
        <x:f>IF(B13="Actual",Rolling_Forecast!J24,"")</x:f>
      </x:c>
      <x:c r="M13" s="278" t="str">
        <x:f>IF(B13="Actual",L13-K13,"")</x:f>
      </x:c>
      <x:c r="N13" s="102" t="str">
        <x:f>IF(B13="Actual",IF(K13=0,0,M13/K13),"")</x:f>
      </x:c>
      <x:c r="O13" s="551" t="str">
        <x:f>IF(B13&lt;&gt;"Actual","",IF(AND(OR(AND(AND(ABS(E13)&gt;=Planning_Assumptions!$B$7,ABS(F13)&gt;=Planning_Assumptions!$B$8),E13&gt;0),AND(AND(ABS(I13)&gt;=Planning_Assumptions!$B$7,ABS(J13)&gt;=Planning_Assumptions!$B$8),I13&gt;0),AND(AND(ABS(M13)&gt;=Planning_Assumptions!$B$7,ABS(N13)&gt;=Planning_Assumptions!$B$8),M13&gt;0)),OR(AND(AND(ABS(E13)&gt;=Planning_Assumptions!$B$7,ABS(F13)&gt;=Planning_Assumptions!$B$8),E13&lt;0),AND(AND(ABS(I13)&gt;=Planning_Assumptions!$B$7,ABS(J13)&gt;=Planning_Assumptions!$B$8),I13&lt;0),AND(AND(ABS(M13)&gt;=Planning_Assumptions!$B$7,ABS(N13)&gt;=Planning_Assumptions!$B$8),M13&lt;0))),"MIXED — REVIEW",IF(OR(AND(AND(ABS(E13)&gt;=Planning_Assumptions!$B$7,ABS(F13)&gt;=Planning_Assumptions!$B$8),E13&gt;0),AND(AND(ABS(I13)&gt;=Planning_Assumptions!$B$7,ABS(J13)&gt;=Planning_Assumptions!$B$8),I13&gt;0),AND(AND(ABS(M13)&gt;=Planning_Assumptions!$B$7,ABS(N13)&gt;=Planning_Assumptions!$B$8),M13&gt;0)),"FAVORABLE — REVIEW",IF(OR(AND(AND(ABS(E13)&gt;=Planning_Assumptions!$B$7,ABS(F13)&gt;=Planning_Assumptions!$B$8),E13&lt;0),AND(AND(ABS(I13)&gt;=Planning_Assumptions!$B$7,ABS(J13)&gt;=Planning_Assumptions!$B$8),I13&lt;0),AND(AND(ABS(M13)&gt;=Planning_Assumptions!$B$7,ABS(N13)&gt;=Planning_Assumptions!$B$8),M13&lt;0)),"UNFAVORABLE — REVIEW","OK"))))</x:f>
      </x:c>
    </x:row>
    <x:row r="14">
      <x:c r="A14" s="290" t="n">
        <x:v>46296</x:v>
      </x:c>
      <x:c r="B14" s="174" t="str">
        <x:f>Rolling_Forecast!K5</x:f>
        <x:v>Forecast</x:v>
      </x:c>
      <x:c r="C14" s="278" t="n">
        <x:f>Budget_2026!K7</x:f>
        <x:v>1.6703999999999999</x:v>
      </x:c>
      <x:c r="D14" s="278" t="str">
        <x:f>IF(B14="Actual",Rolling_Forecast!K7,"")</x:f>
      </x:c>
      <x:c r="E14" s="278" t="str">
        <x:f>IF(B14="Actual",D14-C14,"")</x:f>
      </x:c>
      <x:c r="F14" s="102" t="str">
        <x:f>IF(B14="Actual",IF(C14=0,0,E14/C14),"")</x:f>
      </x:c>
      <x:c r="G14" s="278" t="n">
        <x:f>Budget_2026!K16</x:f>
        <x:v>0.15033600000000003</x:v>
      </x:c>
      <x:c r="H14" s="278" t="str">
        <x:f>IF(B14="Actual",Rolling_Forecast!K16,"")</x:f>
      </x:c>
      <x:c r="I14" s="278" t="str">
        <x:f>IF(B14="Actual",H14-G14,"")</x:f>
      </x:c>
      <x:c r="J14" s="102" t="str">
        <x:f>IF(B14="Actual",IF(G14=0,0,I14/G14),"")</x:f>
      </x:c>
      <x:c r="K14" s="278" t="n">
        <x:f>Budget_2026!K24</x:f>
        <x:v>0.06769600000000002</x:v>
      </x:c>
      <x:c r="L14" s="278" t="str">
        <x:f>IF(B14="Actual",Rolling_Forecast!K24,"")</x:f>
      </x:c>
      <x:c r="M14" s="278" t="str">
        <x:f>IF(B14="Actual",L14-K14,"")</x:f>
      </x:c>
      <x:c r="N14" s="102" t="str">
        <x:f>IF(B14="Actual",IF(K14=0,0,M14/K14),"")</x:f>
      </x:c>
      <x:c r="O14" s="551" t="str">
        <x:f>IF(B14&lt;&gt;"Actual","",IF(AND(OR(AND(AND(ABS(E14)&gt;=Planning_Assumptions!$B$7,ABS(F14)&gt;=Planning_Assumptions!$B$8),E14&gt;0),AND(AND(ABS(I14)&gt;=Planning_Assumptions!$B$7,ABS(J14)&gt;=Planning_Assumptions!$B$8),I14&gt;0),AND(AND(ABS(M14)&gt;=Planning_Assumptions!$B$7,ABS(N14)&gt;=Planning_Assumptions!$B$8),M14&gt;0)),OR(AND(AND(ABS(E14)&gt;=Planning_Assumptions!$B$7,ABS(F14)&gt;=Planning_Assumptions!$B$8),E14&lt;0),AND(AND(ABS(I14)&gt;=Planning_Assumptions!$B$7,ABS(J14)&gt;=Planning_Assumptions!$B$8),I14&lt;0),AND(AND(ABS(M14)&gt;=Planning_Assumptions!$B$7,ABS(N14)&gt;=Planning_Assumptions!$B$8),M14&lt;0))),"MIXED — REVIEW",IF(OR(AND(AND(ABS(E14)&gt;=Planning_Assumptions!$B$7,ABS(F14)&gt;=Planning_Assumptions!$B$8),E14&gt;0),AND(AND(ABS(I14)&gt;=Planning_Assumptions!$B$7,ABS(J14)&gt;=Planning_Assumptions!$B$8),I14&gt;0),AND(AND(ABS(M14)&gt;=Planning_Assumptions!$B$7,ABS(N14)&gt;=Planning_Assumptions!$B$8),M14&gt;0)),"FAVORABLE — REVIEW",IF(OR(AND(AND(ABS(E14)&gt;=Planning_Assumptions!$B$7,ABS(F14)&gt;=Planning_Assumptions!$B$8),E14&lt;0),AND(AND(ABS(I14)&gt;=Planning_Assumptions!$B$7,ABS(J14)&gt;=Planning_Assumptions!$B$8),I14&lt;0),AND(AND(ABS(M14)&gt;=Planning_Assumptions!$B$7,ABS(N14)&gt;=Planning_Assumptions!$B$8),M14&lt;0)),"UNFAVORABLE — REVIEW","OK"))))</x:f>
      </x:c>
    </x:row>
    <x:row r="15">
      <x:c r="A15" s="290" t="n">
        <x:v>46327</x:v>
      </x:c>
      <x:c r="B15" s="174" t="str">
        <x:f>Rolling_Forecast!L5</x:f>
        <x:v>Forecast</x:v>
      </x:c>
      <x:c r="C15" s="278" t="n">
        <x:f>Budget_2026!L7</x:f>
        <x:v>1.7664</x:v>
      </x:c>
      <x:c r="D15" s="278" t="str">
        <x:f>IF(B15="Actual",Rolling_Forecast!L7,"")</x:f>
      </x:c>
      <x:c r="E15" s="278" t="str">
        <x:f>IF(B15="Actual",D15-C15,"")</x:f>
      </x:c>
      <x:c r="F15" s="102" t="str">
        <x:f>IF(B15="Actual",IF(C15=0,0,E15/C15),"")</x:f>
      </x:c>
      <x:c r="G15" s="278" t="n">
        <x:f>Budget_2026!L16</x:f>
        <x:v>0.158976</x:v>
      </x:c>
      <x:c r="H15" s="278" t="str">
        <x:f>IF(B15="Actual",Rolling_Forecast!L16,"")</x:f>
      </x:c>
      <x:c r="I15" s="278" t="str">
        <x:f>IF(B15="Actual",H15-G15,"")</x:f>
      </x:c>
      <x:c r="J15" s="102" t="str">
        <x:f>IF(B15="Actual",IF(G15=0,0,I15/G15),"")</x:f>
      </x:c>
      <x:c r="K15" s="278" t="n">
        <x:f>Budget_2026!L24</x:f>
        <x:v>0.072736</x:v>
      </x:c>
      <x:c r="L15" s="278" t="str">
        <x:f>IF(B15="Actual",Rolling_Forecast!L24,"")</x:f>
      </x:c>
      <x:c r="M15" s="278" t="str">
        <x:f>IF(B15="Actual",L15-K15,"")</x:f>
      </x:c>
      <x:c r="N15" s="102" t="str">
        <x:f>IF(B15="Actual",IF(K15=0,0,M15/K15),"")</x:f>
      </x:c>
      <x:c r="O15" s="551" t="str">
        <x:f>IF(B15&lt;&gt;"Actual","",IF(AND(OR(AND(AND(ABS(E15)&gt;=Planning_Assumptions!$B$7,ABS(F15)&gt;=Planning_Assumptions!$B$8),E15&gt;0),AND(AND(ABS(I15)&gt;=Planning_Assumptions!$B$7,ABS(J15)&gt;=Planning_Assumptions!$B$8),I15&gt;0),AND(AND(ABS(M15)&gt;=Planning_Assumptions!$B$7,ABS(N15)&gt;=Planning_Assumptions!$B$8),M15&gt;0)),OR(AND(AND(ABS(E15)&gt;=Planning_Assumptions!$B$7,ABS(F15)&gt;=Planning_Assumptions!$B$8),E15&lt;0),AND(AND(ABS(I15)&gt;=Planning_Assumptions!$B$7,ABS(J15)&gt;=Planning_Assumptions!$B$8),I15&lt;0),AND(AND(ABS(M15)&gt;=Planning_Assumptions!$B$7,ABS(N15)&gt;=Planning_Assumptions!$B$8),M15&lt;0))),"MIXED — REVIEW",IF(OR(AND(AND(ABS(E15)&gt;=Planning_Assumptions!$B$7,ABS(F15)&gt;=Planning_Assumptions!$B$8),E15&gt;0),AND(AND(ABS(I15)&gt;=Planning_Assumptions!$B$7,ABS(J15)&gt;=Planning_Assumptions!$B$8),I15&gt;0),AND(AND(ABS(M15)&gt;=Planning_Assumptions!$B$7,ABS(N15)&gt;=Planning_Assumptions!$B$8),M15&gt;0)),"FAVORABLE — REVIEW",IF(OR(AND(AND(ABS(E15)&gt;=Planning_Assumptions!$B$7,ABS(F15)&gt;=Planning_Assumptions!$B$8),E15&lt;0),AND(AND(ABS(I15)&gt;=Planning_Assumptions!$B$7,ABS(J15)&gt;=Planning_Assumptions!$B$8),I15&lt;0),AND(AND(ABS(M15)&gt;=Planning_Assumptions!$B$7,ABS(N15)&gt;=Planning_Assumptions!$B$8),M15&lt;0)),"UNFAVORABLE — REVIEW","OK"))))</x:f>
      </x:c>
    </x:row>
    <x:row r="16">
      <x:c r="A16" s="290" t="n">
        <x:v>46357</x:v>
      </x:c>
      <x:c r="B16" s="174" t="str">
        <x:f>Rolling_Forecast!M5</x:f>
        <x:v>Forecast</x:v>
      </x:c>
      <x:c r="C16" s="278" t="n">
        <x:f>Budget_2026!M7</x:f>
        <x:v>2.0544</x:v>
      </x:c>
      <x:c r="D16" s="278" t="str">
        <x:f>IF(B16="Actual",Rolling_Forecast!M7,"")</x:f>
      </x:c>
      <x:c r="E16" s="278" t="str">
        <x:f>IF(B16="Actual",D16-C16,"")</x:f>
      </x:c>
      <x:c r="F16" s="102" t="str">
        <x:f>IF(B16="Actual",IF(C16=0,0,E16/C16),"")</x:f>
      </x:c>
      <x:c r="G16" s="278" t="n">
        <x:f>Budget_2026!M16</x:f>
        <x:v>0.18489600000000017</x:v>
      </x:c>
      <x:c r="H16" s="278" t="str">
        <x:f>IF(B16="Actual",Rolling_Forecast!M16,"")</x:f>
      </x:c>
      <x:c r="I16" s="278" t="str">
        <x:f>IF(B16="Actual",H16-G16,"")</x:f>
      </x:c>
      <x:c r="J16" s="102" t="str">
        <x:f>IF(B16="Actual",IF(G16=0,0,I16/G16),"")</x:f>
      </x:c>
      <x:c r="K16" s="278" t="n">
        <x:f>Budget_2026!M24</x:f>
        <x:v>0.08785600000000011</x:v>
      </x:c>
      <x:c r="L16" s="278" t="str">
        <x:f>IF(B16="Actual",Rolling_Forecast!M24,"")</x:f>
      </x:c>
      <x:c r="M16" s="278" t="str">
        <x:f>IF(B16="Actual",L16-K16,"")</x:f>
      </x:c>
      <x:c r="N16" s="102" t="str">
        <x:f>IF(B16="Actual",IF(K16=0,0,M16/K16),"")</x:f>
      </x:c>
      <x:c r="O16" s="551" t="str">
        <x:f>IF(B16&lt;&gt;"Actual","",IF(AND(OR(AND(AND(ABS(E16)&gt;=Planning_Assumptions!$B$7,ABS(F16)&gt;=Planning_Assumptions!$B$8),E16&gt;0),AND(AND(ABS(I16)&gt;=Planning_Assumptions!$B$7,ABS(J16)&gt;=Planning_Assumptions!$B$8),I16&gt;0),AND(AND(ABS(M16)&gt;=Planning_Assumptions!$B$7,ABS(N16)&gt;=Planning_Assumptions!$B$8),M16&gt;0)),OR(AND(AND(ABS(E16)&gt;=Planning_Assumptions!$B$7,ABS(F16)&gt;=Planning_Assumptions!$B$8),E16&lt;0),AND(AND(ABS(I16)&gt;=Planning_Assumptions!$B$7,ABS(J16)&gt;=Planning_Assumptions!$B$8),I16&lt;0),AND(AND(ABS(M16)&gt;=Planning_Assumptions!$B$7,ABS(N16)&gt;=Planning_Assumptions!$B$8),M16&lt;0))),"MIXED — REVIEW",IF(OR(AND(AND(ABS(E16)&gt;=Planning_Assumptions!$B$7,ABS(F16)&gt;=Planning_Assumptions!$B$8),E16&gt;0),AND(AND(ABS(I16)&gt;=Planning_Assumptions!$B$7,ABS(J16)&gt;=Planning_Assumptions!$B$8),I16&gt;0),AND(AND(ABS(M16)&gt;=Planning_Assumptions!$B$7,ABS(N16)&gt;=Planning_Assumptions!$B$8),M16&gt;0)),"FAVORABLE — REVIEW",IF(OR(AND(AND(ABS(E16)&gt;=Planning_Assumptions!$B$7,ABS(F16)&gt;=Planning_Assumptions!$B$8),E16&lt;0),AND(AND(ABS(I16)&gt;=Planning_Assumptions!$B$7,ABS(J16)&gt;=Planning_Assumptions!$B$8),I16&lt;0),AND(AND(ABS(M16)&gt;=Planning_Assumptions!$B$7,ABS(N16)&gt;=Planning_Assumptions!$B$8),M16&lt;0)),"UNFAVORABLE — REVIEW","OK"))))</x:f>
      </x:c>
    </x:row>
    <x:row r="17" ht="30" customHeight="1">
      <x:c r="A17" s="350" t="str">
        <x:v>Status legend: OK = within materiality | FAVORABLE/UNFAVORABLE — REVIEW = material management variance | DERIVED = downstream consequence, not a separate root cause | EXPECTED — DERIVED = mechanically consistent with upstream performance</x:v>
      </x:c>
      <x:c r="B17" s="350"/>
      <x:c r="C17" s="350"/>
      <x:c r="D17" s="350"/>
      <x:c r="E17" s="350"/>
      <x:c r="F17" s="350"/>
      <x:c r="G17" s="350"/>
      <x:c r="H17" s="350"/>
      <x:c r="I17" s="350"/>
      <x:c r="J17" s="350"/>
      <x:c r="K17" s="350"/>
      <x:c r="L17" s="350"/>
      <x:c r="M17" s="350"/>
      <x:c r="N17" s="350"/>
      <x:c r="O17" s="350"/>
    </x:row>
    <x:row r="18">
      <x:c r="A18" s="174"/>
      <x:c r="B18" s="174"/>
      <x:c r="C18" s="174"/>
      <x:c r="D18" s="174"/>
      <x:c r="E18" s="174"/>
      <x:c r="F18" s="174"/>
      <x:c r="G18" s="174"/>
      <x:c r="H18" s="174"/>
      <x:c r="I18" s="174"/>
      <x:c r="J18" s="174"/>
      <x:c r="K18" s="174"/>
      <x:c r="L18" s="174"/>
      <x:c r="M18" s="174"/>
      <x:c r="N18" s="174"/>
      <x:c r="O18" s="174"/>
    </x:row>
    <x:row r="19" ht="20" customHeight="1">
      <x:c r="A19" s="351" t="str">
        <x:v>YTD Variance Summary + Variance Intelligence</x:v>
      </x:c>
      <x:c r="B19" s="351"/>
      <x:c r="C19" s="351"/>
      <x:c r="D19" s="351"/>
      <x:c r="E19" s="351"/>
      <x:c r="F19" s="351"/>
      <x:c r="G19" s="351"/>
      <x:c r="H19" s="351"/>
      <x:c r="I19" s="244"/>
      <x:c r="J19" s="351" t="str">
        <x:v>FY Rolling Forecast vs Budget</x:v>
      </x:c>
      <x:c r="K19" s="351"/>
      <x:c r="L19" s="351"/>
      <x:c r="M19" s="351"/>
      <x:c r="N19" s="351"/>
      <x:c r="O19" s="351"/>
    </x:row>
    <x:row r="20" ht="28" customHeight="1">
      <x:c r="A20" s="356" t="str">
        <x:v>Metric</x:v>
      </x:c>
      <x:c r="B20" s="356" t="str">
        <x:v>Actual YTD</x:v>
      </x:c>
      <x:c r="C20" s="356" t="str">
        <x:v>Budget YTD</x:v>
      </x:c>
      <x:c r="D20" s="356" t="str">
        <x:v>$ Variance</x:v>
      </x:c>
      <x:c r="E20" s="356" t="str">
        <x:v>% Variance</x:v>
      </x:c>
      <x:c r="F20" s="356" t="str">
        <x:v>Status</x:v>
      </x:c>
      <x:c r="G20" s="356" t="str">
        <x:v>Classification</x:v>
      </x:c>
      <x:c r="H20" s="356" t="str">
        <x:v>Driver / Interpretation</x:v>
      </x:c>
      <x:c r="I20" s="270"/>
      <x:c r="J20" s="356" t="str">
        <x:v>Metric</x:v>
      </x:c>
      <x:c r="K20" s="356" t="str">
        <x:v>FY Budget</x:v>
      </x:c>
      <x:c r="L20" s="356" t="str">
        <x:v>Rolling Forecast</x:v>
      </x:c>
      <x:c r="M20" s="356" t="str">
        <x:v>$ Variance</x:v>
      </x:c>
      <x:c r="N20" s="356" t="str">
        <x:v>% Variance</x:v>
      </x:c>
      <x:c r="O20" s="356" t="str">
        <x:v>Outlook</x:v>
      </x:c>
    </x:row>
    <x:row r="21">
      <x:c r="A21" s="174" t="str">
        <x:v>Revenue</x:v>
      </x:c>
      <x:c r="B21" s="278" t="n">
        <x:f>SUMIF(Rolling_Forecast!$B$5:$M$5,"Actual",Rolling_Forecast!$B$7:$M$7)</x:f>
        <x:v>12.48</x:v>
      </x:c>
      <x:c r="C21" s="278" t="n">
        <x:f>SUMIF(Rolling_Forecast!$B$5:$M$5,"Actual",Budget_2026!$B$7:$M$7)</x:f>
        <x:v>12.0768</x:v>
      </x:c>
      <x:c r="D21" s="278" t="n">
        <x:f>B21-C21</x:f>
        <x:v>0.4032</x:v>
      </x:c>
      <x:c r="E21" s="102" t="n">
        <x:f>IF(C21=0,0,D21/C21)</x:f>
        <x:v>0.033386327503974564</x:v>
      </x:c>
      <x:c r="F21" s="551" t="str">
        <x:f>IF(AND(ABS(D21)&gt;=Planning_Assumptions!$B$7,ABS(E21)&gt;=Planning_Assumptions!$B$8),IF(D21&gt;0,"FAVORABLE — REVIEW","UNFAVORABLE — REVIEW"),"OK")</x:f>
        <x:v>OK</x:v>
      </x:c>
      <x:c r="G21" s="12" t="str">
        <x:v>Primary driver</x:v>
      </x:c>
      <x:c r="H21" s="12" t="str">
        <x:v>Top-line performance vs plan</x:v>
      </x:c>
      <x:c r="I21" s="278"/>
      <x:c r="J21" s="278" t="str">
        <x:v>Revenue</x:v>
      </x:c>
      <x:c r="K21" s="278" t="n">
        <x:f>Budget_2026!N7</x:f>
        <x:v>19.200000000000003</x:v>
      </x:c>
      <x:c r="L21" s="278" t="n">
        <x:f>Rolling_Forecast!N7</x:f>
        <x:v>19.841017488076314</x:v>
      </x:c>
      <x:c r="M21" s="278" t="n">
        <x:f>L21-K21</x:f>
        <x:v>0.6410174880763115</x:v>
      </x:c>
      <x:c r="N21" s="102" t="n">
        <x:f>IF(K21=0,0,M21/K21)</x:f>
        <x:v>0.03338632750397456</x:v>
      </x:c>
      <x:c r="O21" s="551" t="str">
        <x:f>IF(AND(ABS(M21)&gt;=Planning_Assumptions!$B$7,ABS(N21)&gt;=Planning_Assumptions!$B$8),IF(M21&gt;0,"FAVORABLE OUTLOOK","UNFAVORABLE OUTLOOK"),"ON PLAN")</x:f>
        <x:v>ON PLAN</x:v>
      </x:c>
    </x:row>
    <x:row r="22">
      <x:c r="A22" s="174" t="str">
        <x:v>COGS</x:v>
      </x:c>
      <x:c r="B22" s="278" t="n">
        <x:f>SUMIF(Rolling_Forecast!$B$5:$M$5,"Actual",Rolling_Forecast!$B$8:$M$8)</x:f>
        <x:v>3.12</x:v>
      </x:c>
      <x:c r="C22" s="278" t="n">
        <x:f>SUMIF(Rolling_Forecast!$B$5:$M$5,"Actual",Budget_2026!$B$8:$M$8)</x:f>
        <x:v>3.1399679999999996</x:v>
      </x:c>
      <x:c r="D22" s="278" t="n">
        <x:f>B22-C22</x:f>
        <x:v>-0.01996799999999954</x:v>
      </x:c>
      <x:c r="E22" s="102" t="n">
        <x:f>IF(C22=0,0,D22/C22)</x:f>
        <x:v>-0.0063593004769473905</x:v>
      </x:c>
      <x:c r="F22" s="551" t="str">
        <x:f>IF(AND(ABS(D22)&gt;=Planning_Assumptions!$B$7,ABS(E22)&gt;=Planning_Assumptions!$B$8),IF(D22&lt;0,"FAVORABLE — REVIEW","UNFAVORABLE — REVIEW"),"OK")</x:f>
        <x:v>OK</x:v>
      </x:c>
      <x:c r="G22" s="12" t="str">
        <x:v>Primary driver</x:v>
      </x:c>
      <x:c r="H22" s="12" t="str">
        <x:v>Cost of revenue vs plan</x:v>
      </x:c>
      <x:c r="I22" s="278"/>
      <x:c r="J22" s="278" t="str">
        <x:v>Gross Profit</x:v>
      </x:c>
      <x:c r="K22" s="278" t="n">
        <x:f>Budget_2026!N9</x:f>
        <x:v>14.207999999999998</x:v>
      </x:c>
      <x:c r="L22" s="278" t="n">
        <x:f>Rolling_Forecast!N9</x:f>
        <x:v>14.917568203497613</x:v>
      </x:c>
      <x:c r="M22" s="278" t="n">
        <x:f>L22-K22</x:f>
        <x:v>0.7095682034976143</x:v>
      </x:c>
      <x:c r="N22" s="102" t="n">
        <x:f>IF(K22=0,0,M22/K22)</x:f>
        <x:v>0.0499414557641902</x:v>
      </x:c>
      <x:c r="O22" s="551" t="str">
        <x:f>IF(AND(ABS(M22)&gt;=Planning_Assumptions!$B$7,ABS(N22)&gt;=Planning_Assumptions!$B$8),IF(M22&gt;0,"FAVORABLE OUTLOOK","UNFAVORABLE OUTLOOK"),"ON PLAN")</x:f>
        <x:v>ON PLAN</x:v>
      </x:c>
    </x:row>
    <x:row r="23">
      <x:c r="A23" s="20" t="str">
        <x:v>Gross Profit</x:v>
      </x:c>
      <x:c r="B23" s="281" t="n">
        <x:f>SUMIF(Rolling_Forecast!$B$5:$M$5,"Actual",Rolling_Forecast!$B$9:$M$9)</x:f>
        <x:v>9.36</x:v>
      </x:c>
      <x:c r="C23" s="281" t="n">
        <x:f>SUMIF(Rolling_Forecast!$B$5:$M$5,"Actual",Budget_2026!$B$9:$M$9)</x:f>
        <x:v>8.936831999999999</x:v>
      </x:c>
      <x:c r="D23" s="281" t="n">
        <x:f>B23-C23</x:f>
        <x:v>0.42316800000000043</x:v>
      </x:c>
      <x:c r="E23" s="253" t="n">
        <x:f>IF(C23=0,0,D23/C23)</x:f>
        <x:v>0.04735100760537968</x:v>
      </x:c>
      <x:c r="F23" s="551" t="str">
        <x:f>IF(AND(ABS(D23)&gt;=Planning_Assumptions!$B$7,ABS(E23)&gt;=Planning_Assumptions!$B$8),IF(D23&gt;0,"FAVORABLE — DERIVED","UNFAVORABLE — DERIVED"),"OK")</x:f>
        <x:v>OK</x:v>
      </x:c>
      <x:c r="G23" s="12" t="str">
        <x:v>Derived outcome</x:v>
      </x:c>
      <x:c r="H23" s="12" t="str">
        <x:v>Driven by revenue and gross margin</x:v>
      </x:c>
      <x:c r="I23" s="278"/>
      <x:c r="J23" s="278" t="str">
        <x:v>EBITDA</x:v>
      </x:c>
      <x:c r="K23" s="278" t="n">
        <x:f>Budget_2026!N16</x:f>
        <x:v>1.7279999999999995</x:v>
      </x:c>
      <x:c r="L23" s="278" t="n">
        <x:f>Rolling_Forecast!N16</x:f>
        <x:v>2.4913373608903013</x:v>
      </x:c>
      <x:c r="M23" s="278" t="n">
        <x:f>L23-K23</x:f>
        <x:v>0.7633373608903018</x:v>
      </x:c>
      <x:c r="N23" s="102" t="n">
        <x:f>IF(K23=0,0,M23/K23)</x:f>
        <x:v>0.44174615792262845</x:v>
      </x:c>
      <x:c r="O23" s="551" t="str">
        <x:f>IF(AND(ABS(M23)&gt;=Planning_Assumptions!$B$7,ABS(N23)&gt;=Planning_Assumptions!$B$8),IF(M23&gt;0,"FAVORABLE OUTLOOK","UNFAVORABLE OUTLOOK"),"ON PLAN")</x:f>
        <x:v>FAVORABLE OUTLOOK</x:v>
      </x:c>
    </x:row>
    <x:row r="24">
      <x:c r="A24" s="174" t="str">
        <x:v>Sales &amp; Marketing</x:v>
      </x:c>
      <x:c r="B24" s="278" t="n">
        <x:f>SUMIF(Rolling_Forecast!$B$5:$M$5,"Actual",Rolling_Forecast!$B$12:$M$12)</x:f>
        <x:v>3.7439999999999998</x:v>
      </x:c>
      <x:c r="C24" s="278" t="n">
        <x:f>SUMIF(Rolling_Forecast!$B$5:$M$5,"Actual",Budget_2026!$B$12:$M$12)</x:f>
        <x:v>3.7438079999999996</x:v>
      </x:c>
      <x:c r="D24" s="278" t="n">
        <x:f>B24-C24</x:f>
        <x:v>0.00019200000000019202</x:v>
      </x:c>
      <x:c r="E24" s="102" t="n">
        <x:f>IF(C24=0,0,D24/C24)</x:f>
        <x:v>0.000051284681265757226</x:v>
      </x:c>
      <x:c r="F24" s="551" t="str">
        <x:f>IF(AND(ABS(D24)&gt;=Planning_Assumptions!$B$7,ABS(E24)&gt;=Planning_Assumptions!$B$8),IF(D24&lt;0,"FAVORABLE — REVIEW","UNFAVORABLE — REVIEW"),"OK")</x:f>
        <x:v>OK</x:v>
      </x:c>
      <x:c r="G24" s="12" t="str">
        <x:v>Primary driver</x:v>
      </x:c>
      <x:c r="H24" s="12" t="str">
        <x:v>Operating spend vs plan</x:v>
      </x:c>
      <x:c r="I24" s="278"/>
      <x:c r="J24" s="278" t="str">
        <x:v>EBIT</x:v>
      </x:c>
      <x:c r="K24" s="278" t="n">
        <x:f>Budget_2026!N20</x:f>
        <x:v>1.3439999999999996</x:v>
      </x:c>
      <x:c r="L24" s="278" t="n">
        <x:f>Rolling_Forecast!N20</x:f>
        <x:v>2.0945170111287754</x:v>
      </x:c>
      <x:c r="M24" s="278" t="n">
        <x:f>L24-K24</x:f>
        <x:v>0.7505170111287758</x:v>
      </x:c>
      <x:c r="N24" s="102" t="n">
        <x:f>IF(K24=0,0,M24/K24)</x:f>
        <x:v>0.5584203951851012</x:v>
      </x:c>
      <x:c r="O24" s="551" t="str">
        <x:f>IF(AND(ABS(M24)&gt;=Planning_Assumptions!$B$7,ABS(N24)&gt;=Planning_Assumptions!$B$8),IF(M24&gt;0,"FAVORABLE OUTLOOK","UNFAVORABLE OUTLOOK"),"ON PLAN")</x:f>
        <x:v>FAVORABLE OUTLOOK</x:v>
      </x:c>
    </x:row>
    <x:row r="25">
      <x:c r="A25" s="174" t="str">
        <x:v>R&amp;D</x:v>
      </x:c>
      <x:c r="B25" s="278" t="n">
        <x:f>SUMIF(Rolling_Forecast!$B$5:$M$5,"Actual",Rolling_Forecast!$B$13:$M$13)</x:f>
        <x:v>2.2464</x:v>
      </x:c>
      <x:c r="C25" s="278" t="n">
        <x:f>SUMIF(Rolling_Forecast!$B$5:$M$5,"Actual",Budget_2026!$B$13:$M$13)</x:f>
        <x:v>2.2342079999999997</x:v>
      </x:c>
      <x:c r="D25" s="278" t="n">
        <x:f>B25-C25</x:f>
        <x:v>0.012192000000000203</x:v>
      </x:c>
      <x:c r="E25" s="102" t="n">
        <x:f>IF(C25=0,0,D25/C25)</x:f>
        <x:v>0.005456967301164531</x:v>
      </x:c>
      <x:c r="F25" s="551" t="str">
        <x:f>IF(AND(ABS(D25)&gt;=Planning_Assumptions!$B$7,ABS(E25)&gt;=Planning_Assumptions!$B$8),IF(D25&lt;0,"FAVORABLE — REVIEW","UNFAVORABLE — REVIEW"),"OK")</x:f>
        <x:v>OK</x:v>
      </x:c>
      <x:c r="G25" s="12" t="str">
        <x:v>Primary driver</x:v>
      </x:c>
      <x:c r="H25" s="12" t="str">
        <x:v>Operating spend vs plan</x:v>
      </x:c>
      <x:c r="I25" s="278"/>
      <x:c r="J25" s="278" t="str">
        <x:v>Net Income</x:v>
      </x:c>
      <x:c r="K25" s="278" t="n">
        <x:f>Budget_2026!N24</x:f>
        <x:v>0.7679999999999998</x:v>
      </x:c>
      <x:c r="L25" s="278" t="n">
        <x:f>Rolling_Forecast!N24</x:f>
        <x:v>1.3602877583465816</x:v>
      </x:c>
      <x:c r="M25" s="278" t="n">
        <x:f>L25-K25</x:f>
        <x:v>0.5922877583465818</x:v>
      </x:c>
      <x:c r="N25" s="102" t="n">
        <x:f>IF(K25=0,0,M25/K25)</x:f>
        <x:v>0.7712080186804452</x:v>
      </x:c>
      <x:c r="O25" s="551" t="str">
        <x:f>IF(AND(ABS(M25)&gt;=Planning_Assumptions!$B$7,ABS(N25)&gt;=Planning_Assumptions!$B$8),IF(M25&gt;0,"FAVORABLE OUTLOOK","UNFAVORABLE OUTLOOK"),"ON PLAN")</x:f>
        <x:v>FAVORABLE OUTLOOK</x:v>
      </x:c>
    </x:row>
    <x:row r="26">
      <x:c r="A26" s="174" t="str">
        <x:v>G&amp;A</x:v>
      </x:c>
      <x:c r="B26" s="278" t="n">
        <x:f>SUMIF(Rolling_Forecast!$B$5:$M$5,"Actual",Rolling_Forecast!$B$14:$M$14)</x:f>
        <x:v>1.8719999999999999</x:v>
      </x:c>
      <x:c r="C26" s="278" t="n">
        <x:f>SUMIF(Rolling_Forecast!$B$5:$M$5,"Actual",Budget_2026!$B$14:$M$14)</x:f>
        <x:v>1.8719039999999998</x:v>
      </x:c>
      <x:c r="D26" s="278" t="n">
        <x:f>B26-C26</x:f>
        <x:v>0.00009600000000009601</x:v>
      </x:c>
      <x:c r="E26" s="102" t="n">
        <x:f>IF(C26=0,0,D26/C26)</x:f>
        <x:v>0.000051284681265757226</x:v>
      </x:c>
      <x:c r="F26" s="551" t="str">
        <x:f>IF(AND(ABS(D26)&gt;=Planning_Assumptions!$B$7,ABS(E26)&gt;=Planning_Assumptions!$B$8),IF(D26&lt;0,"FAVORABLE — REVIEW","UNFAVORABLE — REVIEW"),"OK")</x:f>
        <x:v>OK</x:v>
      </x:c>
      <x:c r="G26" s="12" t="str">
        <x:v>Primary driver</x:v>
      </x:c>
      <x:c r="H26" s="12" t="str">
        <x:v>Operating spend vs plan</x:v>
      </x:c>
      <x:c r="I26" s="174"/>
      <x:c r="J26" s="174"/>
      <x:c r="K26" s="174"/>
      <x:c r="L26" s="174"/>
      <x:c r="M26" s="174"/>
      <x:c r="N26" s="174"/>
      <x:c r="O26" s="174"/>
    </x:row>
    <x:row r="27">
      <x:c r="A27" s="20" t="str">
        <x:v>EBITDA</x:v>
      </x:c>
      <x:c r="B27" s="281" t="n">
        <x:f>SUMIF(Rolling_Forecast!$B$5:$M$5,"Actual",Rolling_Forecast!$B$16:$M$16)</x:f>
        <x:v>1.4976</x:v>
      </x:c>
      <x:c r="C27" s="281" t="n">
        <x:f>SUMIF(Rolling_Forecast!$B$5:$M$5,"Actual",Budget_2026!$B$16:$M$16)</x:f>
        <x:v>1.0869119999999994</x:v>
      </x:c>
      <x:c r="D27" s="281" t="n">
        <x:f>B27-C27</x:f>
        <x:v>0.4106880000000006</x:v>
      </x:c>
      <x:c r="E27" s="253" t="n">
        <x:f>IF(C27=0,0,D27/C27)</x:f>
        <x:v>0.3778484366719668</x:v>
      </x:c>
      <x:c r="F27" s="551" t="str">
        <x:f>IF(AND(ABS(D27)&gt;=Planning_Assumptions!$B$7,ABS(E27)&gt;=Planning_Assumptions!$B$8),IF(D27&gt;0,"FAVORABLE — REVIEW","UNFAVORABLE — REVIEW"),"OK")</x:f>
        <x:v>FAVORABLE — REVIEW</x:v>
      </x:c>
      <x:c r="G27" s="12" t="str">
        <x:v>Key outcome</x:v>
      </x:c>
      <x:c r="H27" s="12" t="str">
        <x:v>Gross profit + operating leverage</x:v>
      </x:c>
      <x:c r="I27" s="174"/>
      <x:c r="J27" s="174"/>
      <x:c r="K27" s="174"/>
      <x:c r="L27" s="174"/>
      <x:c r="M27" s="174"/>
      <x:c r="N27" s="174"/>
      <x:c r="O27" s="174"/>
    </x:row>
    <x:row r="28">
      <x:c r="A28" s="174" t="str">
        <x:v>D&amp;A</x:v>
      </x:c>
      <x:c r="B28" s="278" t="n">
        <x:f>SUMIF(Rolling_Forecast!$B$5:$M$5,"Actual",Rolling_Forecast!$B$19:$M$19)</x:f>
        <x:v>0.24960000000000002</x:v>
      </x:c>
      <x:c r="C28" s="278" t="n">
        <x:f>SUMIF(Rolling_Forecast!$B$5:$M$5,"Actual",Budget_2026!$B$19:$M$19)</x:f>
        <x:v>0.24153600000000003</x:v>
      </x:c>
      <x:c r="D28" s="278" t="n">
        <x:f>B28-C28</x:f>
        <x:v>0.008063999999999988</x:v>
      </x:c>
      <x:c r="E28" s="102" t="n">
        <x:f>IF(C28=0,0,D28/C28)</x:f>
        <x:v>0.03338632750397451</x:v>
      </x:c>
      <x:c r="F28" s="551" t="str">
        <x:f>IF(AND(ABS(D28)&gt;=Planning_Assumptions!$B$7,ABS(E28)&gt;=Planning_Assumptions!$B$8),IF(D28&lt;0,"FAVORABLE — REVIEW","UNFAVORABLE — REVIEW"),"OK")</x:f>
        <x:v>OK</x:v>
      </x:c>
      <x:c r="G28" s="12" t="str">
        <x:v>Supporting driver</x:v>
      </x:c>
      <x:c r="H28" s="12" t="str">
        <x:v>Non-cash operating expense</x:v>
      </x:c>
      <x:c r="I28" s="174"/>
      <x:c r="J28" s="174"/>
      <x:c r="K28" s="174"/>
      <x:c r="L28" s="174"/>
      <x:c r="M28" s="174"/>
      <x:c r="N28" s="174"/>
      <x:c r="O28" s="174"/>
    </x:row>
    <x:row r="29">
      <x:c r="A29" s="20" t="str">
        <x:v>EBIT</x:v>
      </x:c>
      <x:c r="B29" s="281" t="n">
        <x:f>SUMIF(Rolling_Forecast!$B$5:$M$5,"Actual",Rolling_Forecast!$B$20:$M$20)</x:f>
        <x:v>1.248</x:v>
      </x:c>
      <x:c r="C29" s="281" t="n">
        <x:f>SUMIF(Rolling_Forecast!$B$5:$M$5,"Actual",Budget_2026!$B$20:$M$20)</x:f>
        <x:v>0.8453759999999996</x:v>
      </x:c>
      <x:c r="D29" s="281" t="n">
        <x:f>B29-C29</x:f>
        <x:v>0.4026240000000004</x:v>
      </x:c>
      <x:c r="E29" s="253" t="n">
        <x:f>IF(C29=0,0,D29/C29)</x:f>
        <x:v>0.47626618214853583</x:v>
      </x:c>
      <x:c r="F29" s="551" t="str">
        <x:f>IF(AND(ABS(D29)&gt;=Planning_Assumptions!$B$7,ABS(E29)&gt;=Planning_Assumptions!$B$8),IF(D29&gt;0,"FAVORABLE — DERIVED","UNFAVORABLE — DERIVED"),"OK")</x:f>
        <x:v>FAVORABLE — DERIVED</x:v>
      </x:c>
      <x:c r="G29" s="12" t="str">
        <x:v>Derived outcome</x:v>
      </x:c>
      <x:c r="H29" s="12" t="str">
        <x:v>Derived from EBITDA less D&amp;A</x:v>
      </x:c>
      <x:c r="I29" s="174"/>
      <x:c r="J29" s="174"/>
      <x:c r="K29" s="174"/>
      <x:c r="L29" s="174"/>
      <x:c r="M29" s="174"/>
      <x:c r="N29" s="174"/>
      <x:c r="O29" s="174"/>
    </x:row>
    <x:row r="30">
      <x:c r="A30" s="174" t="str">
        <x:v>Interest Expense</x:v>
      </x:c>
      <x:c r="B30" s="278" t="n">
        <x:f>SUMIF(Rolling_Forecast!$B$5:$M$5,"Actual",Rolling_Forecast!$B$21:$M$21)</x:f>
        <x:v>0.1872</x:v>
      </x:c>
      <x:c r="C30" s="278" t="n">
        <x:f>SUMIF(Rolling_Forecast!$B$5:$M$5,"Actual",Budget_2026!$B$21:$M$21)</x:f>
        <x:v>0.21333333333333335</x:v>
      </x:c>
      <x:c r="D30" s="278" t="n">
        <x:f>B30-C30</x:f>
        <x:v>-0.026133333333333342</x:v>
      </x:c>
      <x:c r="E30" s="102" t="n">
        <x:f>IF(C30=0,0,D30/C30)</x:f>
        <x:v>-0.12250000000000003</x:v>
      </x:c>
      <x:c r="F30" s="551" t="str">
        <x:f>IF(AND(ABS(D30)&gt;=Planning_Assumptions!$B$7,ABS(E30)&gt;=Planning_Assumptions!$B$8),IF(D30&lt;0,"FAVORABLE — REVIEW","UNFAVORABLE — REVIEW"),"OK")</x:f>
        <x:v>OK</x:v>
      </x:c>
      <x:c r="G30" s="12" t="str">
        <x:v>Supporting driver</x:v>
      </x:c>
      <x:c r="H30" s="12" t="str">
        <x:v>Financing cost vs plan</x:v>
      </x:c>
      <x:c r="I30" s="174"/>
      <x:c r="J30" s="174"/>
      <x:c r="K30" s="174"/>
      <x:c r="L30" s="174"/>
      <x:c r="M30" s="174"/>
      <x:c r="N30" s="174"/>
      <x:c r="O30" s="174"/>
    </x:row>
    <x:row r="31">
      <x:c r="A31" s="20" t="str">
        <x:v>Earnings Before Tax</x:v>
      </x:c>
      <x:c r="B31" s="281" t="n">
        <x:f>SUMIF(Rolling_Forecast!$B$5:$M$5,"Actual",Rolling_Forecast!$B$22:$M$22)</x:f>
        <x:v>1.0608</x:v>
      </x:c>
      <x:c r="C31" s="281" t="n">
        <x:f>SUMIF(Rolling_Forecast!$B$5:$M$5,"Actual",Budget_2026!$B$22:$M$22)</x:f>
        <x:v>0.6320426666666661</x:v>
      </x:c>
      <x:c r="D31" s="281" t="n">
        <x:f>B31-C31</x:f>
        <x:v>0.4287573333333339</x:v>
      </x:c>
      <x:c r="E31" s="253" t="n">
        <x:f>IF(C31=0,0,D31/C31)</x:f>
        <x:v>0.6783677051338322</x:v>
      </x:c>
      <x:c r="F31" s="551" t="str">
        <x:f>IF(AND(ABS(D31)&gt;=Planning_Assumptions!$B$7,ABS(E31)&gt;=Planning_Assumptions!$B$8),IF(D31&gt;0,"FAVORABLE — DERIVED","UNFAVORABLE — DERIVED"),"OK")</x:f>
        <x:v>FAVORABLE — DERIVED</x:v>
      </x:c>
      <x:c r="G31" s="12" t="str">
        <x:v>Derived outcome</x:v>
      </x:c>
      <x:c r="H31" s="12" t="str">
        <x:v>Derived from EBIT less interest</x:v>
      </x:c>
      <x:c r="I31" s="174"/>
      <x:c r="J31" s="174"/>
      <x:c r="K31" s="174"/>
      <x:c r="L31" s="174"/>
      <x:c r="M31" s="174"/>
      <x:c r="N31" s="174"/>
      <x:c r="O31" s="174"/>
    </x:row>
    <x:row r="32">
      <x:c r="A32" s="174" t="str">
        <x:v>Taxes</x:v>
      </x:c>
      <x:c r="B32" s="278" t="n">
        <x:f>SUMIF(Rolling_Forecast!$B$5:$M$5,"Actual",Rolling_Forecast!$B$23:$M$23)</x:f>
        <x:v>0.2652</x:v>
      </x:c>
      <x:c r="C32" s="278" t="n">
        <x:f>SUMIF(Rolling_Forecast!$B$5:$M$5,"Actual",Budget_2026!$B$23:$M$23)</x:f>
        <x:v>0.15801066666666652</x:v>
      </x:c>
      <x:c r="D32" s="278" t="n">
        <x:f>B32-C32</x:f>
        <x:v>0.10718933333333347</x:v>
      </x:c>
      <x:c r="E32" s="102" t="n">
        <x:f>IF(C32=0,0,D32/C32)</x:f>
        <x:v>0.6783677051338322</x:v>
      </x:c>
      <x:c r="F32" s="551" t="str">
        <x:f>IF(AND(B31&lt;&gt;0,C31&lt;&gt;0,ABS(B32/B31-C32/C31)&lt;=0.005),"EXPECTED — DERIVED",IF(AND(ABS(D32)&gt;=Planning_Assumptions!$B$7,ABS(E32)&gt;=Planning_Assumptions!$B$8),IF(D32&lt;0,"FAVORABLE — REVIEW","UNFAVORABLE — REVIEW"),"OK"))</x:f>
        <x:v>EXPECTED — DERIVED</x:v>
      </x:c>
      <x:c r="G32" s="12" t="str">
        <x:v>Derived / expected</x:v>
      </x:c>
      <x:c r="H32" s="12" t="str">
        <x:v>Higher tax expense is expected when EBT rises at a similar tax rate</x:v>
      </x:c>
      <x:c r="I32" s="174"/>
      <x:c r="J32" s="174"/>
      <x:c r="K32" s="174"/>
      <x:c r="L32" s="174"/>
      <x:c r="M32" s="174"/>
      <x:c r="N32" s="174"/>
      <x:c r="O32" s="174"/>
    </x:row>
    <x:row r="33">
      <x:c r="A33" s="20" t="str">
        <x:v>Net Income</x:v>
      </x:c>
      <x:c r="B33" s="281" t="n">
        <x:f>SUMIF(Rolling_Forecast!$B$5:$M$5,"Actual",Rolling_Forecast!$B$24:$M$24)</x:f>
        <x:v>0.7956000000000001</x:v>
      </x:c>
      <x:c r="C33" s="281" t="n">
        <x:f>SUMIF(Rolling_Forecast!$B$5:$M$5,"Actual",Budget_2026!$B$24:$M$24)</x:f>
        <x:v>0.4740319999999997</x:v>
      </x:c>
      <x:c r="D33" s="281" t="n">
        <x:f>B33-C33</x:f>
        <x:v>0.3215680000000004</x:v>
      </x:c>
      <x:c r="E33" s="253" t="n">
        <x:f>IF(C33=0,0,D33/C33)</x:f>
        <x:v>0.6783677051338319</x:v>
      </x:c>
      <x:c r="F33" s="361" t="str">
        <x:f>IF(AND(ABS(D33)&gt;=Planning_Assumptions!$B$7,ABS(E33)&gt;=Planning_Assumptions!$B$8),IF(D33&gt;0,"FAVORABLE — DERIVED","UNFAVORABLE — DERIVED"),"OK")</x:f>
        <x:v>FAVORABLE — DERIVED</x:v>
      </x:c>
      <x:c r="G33" s="12" t="str">
        <x:v>Derived outcome</x:v>
      </x:c>
      <x:c r="H33" s="12" t="str">
        <x:v>Derived from EBT less taxes</x:v>
      </x:c>
      <x:c r="I33" s="174"/>
      <x:c r="J33" s="174"/>
      <x:c r="K33" s="174"/>
      <x:c r="L33" s="174"/>
      <x:c r="M33" s="174"/>
      <x:c r="N33" s="174"/>
      <x:c r="O33" s="174"/>
    </x:row>
  </x:sheetData>
  <x:mergeCells>
    <x:mergeCell ref="A1:O1"/>
    <x:mergeCell ref="A2:O2"/>
    <x:mergeCell ref="A19:F19"/>
    <x:mergeCell ref="H19:L19"/>
    <x:mergeCell ref="A17:O17"/>
  </x:mergeCells>
  <x:conditionalFormatting sqref="F21:F33">
    <x:cfRule type="expression" dxfId="12" priority="1">
      <x:formula>$F21="OK"</x:formula>
    </x:cfRule>
    <x:cfRule type="expression" dxfId="13" priority="2">
      <x:formula>LEFT($F21,9)="FAVORABLE"</x:formula>
    </x:cfRule>
    <x:cfRule type="expression" dxfId="14" priority="3">
      <x:formula>LEFT($F21,11)="UNFAVORABLE"</x:formula>
    </x:cfRule>
    <x:cfRule type="expression" dxfId="15" priority="4">
      <x:formula>LEFT($F21,8)="EXPECTED"</x:formula>
    </x:cfRule>
    <x:cfRule type="expression" dxfId="16" priority="5">
      <x:formula>LEFT($F21,6)="REVIEW"</x:formula>
    </x:cfRule>
  </x:conditionalFormatting>
  <x:conditionalFormatting sqref="O5:O16">
    <x:cfRule type="expression" dxfId="17" priority="6">
      <x:formula>$O5="OK"</x:formula>
    </x:cfRule>
    <x:cfRule type="expression" dxfId="18" priority="7">
      <x:formula>LEFT($O5,9)="FAVORABLE"</x:formula>
    </x:cfRule>
    <x:cfRule type="expression" dxfId="19" priority="8">
      <x:formula>LEFT($O5,11)="UNFAVORABLE"</x:formula>
    </x:cfRule>
    <x:cfRule type="expression" dxfId="20" priority="9">
      <x:formula>LEFT($O5,5)="MIXED"</x:formula>
    </x:cfRule>
    <x:cfRule type="expression" dxfId="56" priority="13">
      <x:formula>O5="OK"</x:formula>
    </x:cfRule>
    <x:cfRule type="expression" dxfId="57" priority="14">
      <x:formula>ISNUMBER(SEARCH("FAVORABLE",O5))</x:formula>
    </x:cfRule>
    <x:cfRule type="expression" dxfId="58" priority="15">
      <x:formula>ISNUMBER(SEARCH("UNFAVORABLE",O5))</x:formula>
    </x:cfRule>
    <x:cfRule type="expression" dxfId="59" priority="16">
      <x:formula>ISNUMBER(SEARCH("MIXED",O5))</x:formula>
    </x:cfRule>
  </x:conditionalFormatting>
  <x:conditionalFormatting sqref="O21:O25">
    <x:cfRule type="expression" dxfId="21" priority="10">
      <x:formula>$O21="ON PLAN"</x:formula>
    </x:cfRule>
    <x:cfRule type="expression" dxfId="22" priority="11">
      <x:formula>LEFT($O21,9)="FAVORABLE"</x:formula>
    </x:cfRule>
    <x:cfRule type="expression" dxfId="23" priority="12">
      <x:formula>LEFT($O21,11)="UNFAVORABLE"</x:formula>
    </x:cfRule>
    <x:cfRule type="expression" dxfId="64" priority="21">
      <x:formula>O21="ON PLAN"</x:formula>
    </x:cfRule>
    <x:cfRule type="expression" dxfId="65" priority="22">
      <x:formula>ISNUMBER(SEARCH("FAVORABLE",O21))</x:formula>
    </x:cfRule>
    <x:cfRule type="expression" dxfId="66" priority="23">
      <x:formula>ISNUMBER(SEARCH("UNFAVORABLE",O21))</x:formula>
    </x:cfRule>
  </x:conditionalFormatting>
  <x:conditionalFormatting sqref="F21:F32">
    <x:cfRule type="expression" dxfId="60" priority="17">
      <x:formula>F21="OK"</x:formula>
    </x:cfRule>
    <x:cfRule type="expression" dxfId="61" priority="18">
      <x:formula>ISNUMBER(SEARCH("FAVORABLE — REVIEW",F21))</x:formula>
    </x:cfRule>
    <x:cfRule type="expression" dxfId="62" priority="19">
      <x:formula>ISNUMBER(SEARCH("UNFAVORABLE — REVIEW",F21))</x:formula>
    </x:cfRule>
    <x:cfRule type="expression" dxfId="63" priority="20">
      <x:formula>ISNUMBER(SEARCH("DERIVED",F21))</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3" hidden="0" customWidth="1"/>
    <x:col min="2" max="2" width="15" hidden="0" customWidth="1"/>
    <x:col min="3" max="3" width="15" hidden="0" customWidth="1"/>
    <x:col min="4" max="4" width="15" hidden="0" customWidth="1"/>
    <x:col min="5" max="5" width="3"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6" max="16" width="2" hidden="0" customWidth="1"/>
    <x:col min="17" max="17" width="2" hidden="0" customWidth="1"/>
    <x:col min="18" max="18" width="2" hidden="0" customWidth="1"/>
  </x:cols>
  <x:sheetData>
    <x:row r="1" ht="24" customHeight="1">
      <x:c r="A1" s="243" t="str">
        <x:v>Monthly FP&amp;A Planning Dashboard | Budget vs Actual + Rolling Forecast | v1.5.1</x:v>
      </x:c>
      <x:c r="B1" s="243"/>
      <x:c r="C1" s="243"/>
      <x:c r="D1" s="243"/>
      <x:c r="E1" s="243"/>
      <x:c r="F1" s="243"/>
      <x:c r="G1" s="243"/>
      <x:c r="H1" s="243"/>
      <x:c r="I1" s="243"/>
      <x:c r="J1" s="243"/>
      <x:c r="K1" s="243"/>
      <x:c r="L1" s="243"/>
      <x:c r="M1" s="243"/>
      <x:c r="N1" s="243"/>
      <x:c r="P1" s="444"/>
      <x:c r="Q1" s="444"/>
      <x:c r="R1" s="444"/>
    </x:row>
    <x:row r="2">
      <x:c r="A2" s="179" t="str">
        <x:v>Synthetic SaaS company | Units: USD $mm | Close-through and forecast outputs update dynamically | Portfolio release</x:v>
      </x:c>
      <x:c r="B2" s="179"/>
      <x:c r="C2" s="179"/>
      <x:c r="D2" s="179"/>
      <x:c r="E2" s="179"/>
      <x:c r="F2" s="179"/>
      <x:c r="G2" s="179"/>
      <x:c r="H2" s="179"/>
      <x:c r="I2" s="179"/>
      <x:c r="J2" s="179"/>
      <x:c r="K2" s="179"/>
      <x:c r="L2" s="179"/>
      <x:c r="M2" s="179"/>
      <x:c r="N2" s="179"/>
      <x:c r="P2" s="444"/>
      <x:c r="Q2" s="444"/>
      <x:c r="R2" s="444"/>
    </x:row>
    <x:row r="3">
      <x:c r="A3" s="174"/>
      <x:c r="B3" s="174"/>
      <x:c r="C3" s="174"/>
      <x:c r="D3" s="174"/>
      <x:c r="E3" s="174"/>
      <x:c r="F3" s="174"/>
      <x:c r="G3" s="174"/>
      <x:c r="H3" s="174"/>
      <x:c r="I3" s="174"/>
      <x:c r="J3" s="174"/>
      <x:c r="K3" s="174"/>
      <x:c r="L3" s="174"/>
      <x:c r="M3" s="174"/>
      <x:c r="N3" s="174"/>
      <x:c r="P3" s="444"/>
      <x:c r="Q3" s="444"/>
      <x:c r="R3" s="444"/>
    </x:row>
    <x:row r="4">
      <x:c r="A4" s="291" t="str">
        <x:v>Close Through</x:v>
      </x:c>
      <x:c r="B4" s="291"/>
      <x:c r="C4" s="174"/>
      <x:c r="D4" s="291" t="str">
        <x:v>YTD Revenue Var %</x:v>
      </x:c>
      <x:c r="E4" s="291"/>
      <x:c r="F4" s="174"/>
      <x:c r="G4" s="291" t="str">
        <x:v>YTD EBITDA Var %</x:v>
      </x:c>
      <x:c r="H4" s="291"/>
      <x:c r="I4" s="174"/>
      <x:c r="J4" s="291" t="str">
        <x:v>FY Revenue Forecast</x:v>
      </x:c>
      <x:c r="K4" s="291"/>
      <x:c r="L4" s="174"/>
      <x:c r="M4" s="291" t="str">
        <x:v>FY EBITDA Forecast</x:v>
      </x:c>
      <x:c r="N4" s="291"/>
      <x:c r="P4" s="444"/>
      <x:c r="Q4" s="444"/>
      <x:c r="R4" s="444"/>
    </x:row>
    <x:row r="5">
      <x:c r="A5" s="296" t="n">
        <x:f>Planning_Assumptions!B6</x:f>
        <x:v>46265</x:v>
      </x:c>
      <x:c r="B5" s="296"/>
      <x:c r="C5" s="174"/>
      <x:c r="D5" s="297" t="n">
        <x:f>BvA_Analysis!E21</x:f>
        <x:v>0.033386327503974564</x:v>
      </x:c>
      <x:c r="E5" s="297"/>
      <x:c r="F5" s="174"/>
      <x:c r="G5" s="297" t="n">
        <x:f>BvA_Analysis!E27</x:f>
        <x:v>0.3778484366719668</x:v>
      </x:c>
      <x:c r="H5" s="297"/>
      <x:c r="I5" s="174"/>
      <x:c r="J5" s="298" t="n">
        <x:f>Rolling_Forecast!N7</x:f>
        <x:v>19.841017488076314</x:v>
      </x:c>
      <x:c r="K5" s="298"/>
      <x:c r="L5" s="174"/>
      <x:c r="M5" s="298" t="n">
        <x:f>Rolling_Forecast!N16</x:f>
        <x:v>2.4913373608903013</x:v>
      </x:c>
      <x:c r="N5" s="298"/>
      <x:c r="P5" s="444"/>
      <x:c r="Q5" s="444"/>
      <x:c r="R5" s="444"/>
    </x:row>
    <x:row r="6">
      <x:c r="A6" s="296"/>
      <x:c r="B6" s="296"/>
      <x:c r="C6" s="174"/>
      <x:c r="D6" s="297"/>
      <x:c r="E6" s="297"/>
      <x:c r="F6" s="174"/>
      <x:c r="G6" s="297"/>
      <x:c r="H6" s="297"/>
      <x:c r="I6" s="174"/>
      <x:c r="J6" s="298"/>
      <x:c r="K6" s="298"/>
      <x:c r="L6" s="174"/>
      <x:c r="M6" s="298"/>
      <x:c r="N6" s="298"/>
      <x:c r="P6" s="444"/>
      <x:c r="Q6" s="444"/>
      <x:c r="R6" s="444"/>
    </x:row>
    <x:row r="7">
      <x:c r="A7" s="174"/>
      <x:c r="B7" s="174"/>
      <x:c r="C7" s="174"/>
      <x:c r="D7" s="174"/>
      <x:c r="E7" s="174"/>
      <x:c r="F7" s="174"/>
      <x:c r="G7" s="174"/>
      <x:c r="H7" s="174"/>
      <x:c r="I7" s="174"/>
      <x:c r="J7" s="174"/>
      <x:c r="K7" s="174"/>
      <x:c r="L7" s="174"/>
      <x:c r="M7" s="174"/>
      <x:c r="N7" s="174"/>
      <x:c r="P7" s="444"/>
      <x:c r="Q7" s="444"/>
      <x:c r="R7" s="444"/>
    </x:row>
    <x:row r="8" ht="20" customHeight="1">
      <x:c r="A8" s="244" t="str">
        <x:v>Monthly Revenue: Budget vs Actual / Forecast</x:v>
      </x:c>
      <x:c r="B8" s="244"/>
      <x:c r="C8" s="244"/>
      <x:c r="D8" s="244"/>
      <x:c r="E8" s="244"/>
      <x:c r="F8" s="244"/>
      <x:c r="G8" s="244"/>
      <x:c r="H8" s="244"/>
      <x:c r="I8" s="244"/>
      <x:c r="J8" s="244"/>
      <x:c r="K8" s="244"/>
      <x:c r="L8" s="244"/>
      <x:c r="M8" s="244"/>
      <x:c r="N8" s="244"/>
      <x:c r="P8" s="444"/>
      <x:c r="Q8" s="444"/>
      <x:c r="R8" s="444"/>
    </x:row>
    <x:row r="9">
      <x:c r="A9" s="270" t="str">
        <x:v>Month</x:v>
      </x:c>
      <x:c r="B9" s="270" t="str">
        <x:v>Budget</x:v>
      </x:c>
      <x:c r="C9" s="270" t="str">
        <x:v>Actual</x:v>
      </x:c>
      <x:c r="D9" s="270" t="str">
        <x:v>Rolling Forecast</x:v>
      </x:c>
      <x:c r="E9" s="174"/>
      <x:c r="F9" s="174"/>
      <x:c r="G9" s="174"/>
      <x:c r="H9" s="174"/>
      <x:c r="I9" s="174"/>
      <x:c r="J9" s="174"/>
      <x:c r="K9" s="174"/>
      <x:c r="L9" s="174"/>
      <x:c r="M9" s="174"/>
      <x:c r="N9" s="174"/>
      <x:c r="P9" s="444" t="str">
        <x:v>Month</x:v>
      </x:c>
      <x:c r="Q9" s="444" t="str">
        <x:v>Budget</x:v>
      </x:c>
      <x:c r="R9" s="444" t="str">
        <x:v>Rolling Forecast</x:v>
      </x:c>
    </x:row>
    <x:row r="10">
      <x:c r="A10" s="250" t="n">
        <x:f>Rolling_Forecast!B4</x:f>
        <x:v>46023</x:v>
      </x:c>
      <x:c r="B10" s="278" t="n">
        <x:f>Budget_2026!B7</x:f>
        <x:v>1.4016</x:v>
      </x:c>
      <x:c r="C10" s="278" t="n">
        <x:f>IF(Rolling_Forecast!B5="Actual",Rolling_Forecast!B7,"")</x:f>
        <x:v>1.42</x:v>
      </x:c>
      <x:c r="D10" s="278" t="n">
        <x:f>Rolling_Forecast!B7</x:f>
        <x:v>1.42</x:v>
      </x:c>
      <x:c r="E10" s="174"/>
      <x:c r="F10" s="174"/>
      <x:c r="G10" s="174"/>
      <x:c r="H10" s="174"/>
      <x:c r="I10" s="174"/>
      <x:c r="J10" s="174"/>
      <x:c r="K10" s="174"/>
      <x:c r="L10" s="174"/>
      <x:c r="M10" s="174"/>
      <x:c r="N10" s="174"/>
      <x:c r="P10" s="445" t="str">
        <x:f>TEXT(Rolling_Forecast!B4,"mmm")</x:f>
        <x:v>Jan</x:v>
      </x:c>
      <x:c r="Q10" s="446" t="n">
        <x:f>Budget_2026!B7</x:f>
        <x:v>1.4016</x:v>
      </x:c>
      <x:c r="R10" s="446" t="n">
        <x:f>Rolling_Forecast!B7</x:f>
        <x:v>1.42</x:v>
      </x:c>
    </x:row>
    <x:row r="11">
      <x:c r="A11" s="250" t="n">
        <x:f>Rolling_Forecast!C4</x:f>
        <x:v>46054</x:v>
      </x:c>
      <x:c r="B11" s="278" t="n">
        <x:f>Budget_2026!C7</x:f>
        <x:v>1.44</x:v>
      </x:c>
      <x:c r="C11" s="278" t="n">
        <x:f>IF(Rolling_Forecast!C5="Actual",Rolling_Forecast!C7,"")</x:f>
        <x:v>1.46</x:v>
      </x:c>
      <x:c r="D11" s="278" t="n">
        <x:f>Rolling_Forecast!C7</x:f>
        <x:v>1.46</x:v>
      </x:c>
      <x:c r="E11" s="174"/>
      <x:c r="F11" s="174"/>
      <x:c r="G11" s="174"/>
      <x:c r="H11" s="174"/>
      <x:c r="I11" s="174"/>
      <x:c r="J11" s="174"/>
      <x:c r="K11" s="174"/>
      <x:c r="L11" s="174"/>
      <x:c r="M11" s="174"/>
      <x:c r="N11" s="174"/>
      <x:c r="P11" s="445" t="str">
        <x:f>TEXT(Rolling_Forecast!C4,"mmm")</x:f>
        <x:v>Feb</x:v>
      </x:c>
      <x:c r="Q11" s="446" t="n">
        <x:f>Budget_2026!C7</x:f>
        <x:v>1.44</x:v>
      </x:c>
      <x:c r="R11" s="446" t="n">
        <x:f>Rolling_Forecast!C7</x:f>
        <x:v>1.46</x:v>
      </x:c>
    </x:row>
    <x:row r="12">
      <x:c r="A12" s="250" t="n">
        <x:f>Rolling_Forecast!D4</x:f>
        <x:v>46082</x:v>
      </x:c>
      <x:c r="B12" s="278" t="n">
        <x:f>Budget_2026!D7</x:f>
        <x:v>1.4784</x:v>
      </x:c>
      <x:c r="C12" s="278" t="n">
        <x:f>IF(Rolling_Forecast!D5="Actual",Rolling_Forecast!D7,"")</x:f>
        <x:v>1.5</x:v>
      </x:c>
      <x:c r="D12" s="278" t="n">
        <x:f>Rolling_Forecast!D7</x:f>
        <x:v>1.5</x:v>
      </x:c>
      <x:c r="E12" s="174"/>
      <x:c r="F12" s="174"/>
      <x:c r="G12" s="174"/>
      <x:c r="H12" s="174"/>
      <x:c r="I12" s="174"/>
      <x:c r="J12" s="174"/>
      <x:c r="K12" s="174"/>
      <x:c r="L12" s="174"/>
      <x:c r="M12" s="174"/>
      <x:c r="N12" s="174"/>
      <x:c r="P12" s="445" t="str">
        <x:f>TEXT(Rolling_Forecast!D4,"mmm")</x:f>
        <x:v>Mar</x:v>
      </x:c>
      <x:c r="Q12" s="446" t="n">
        <x:f>Budget_2026!D7</x:f>
        <x:v>1.4784</x:v>
      </x:c>
      <x:c r="R12" s="446" t="n">
        <x:f>Rolling_Forecast!D7</x:f>
        <x:v>1.5</x:v>
      </x:c>
    </x:row>
    <x:row r="13">
      <x:c r="A13" s="250" t="n">
        <x:f>Rolling_Forecast!E4</x:f>
        <x:v>46113</x:v>
      </x:c>
      <x:c r="B13" s="278" t="n">
        <x:f>Budget_2026!E7</x:f>
        <x:v>1.4976</x:v>
      </x:c>
      <x:c r="C13" s="278" t="n">
        <x:f>IF(Rolling_Forecast!E5="Actual",Rolling_Forecast!E7,"")</x:f>
        <x:v>1.54</x:v>
      </x:c>
      <x:c r="D13" s="278" t="n">
        <x:f>Rolling_Forecast!E7</x:f>
        <x:v>1.54</x:v>
      </x:c>
      <x:c r="E13" s="174"/>
      <x:c r="F13" s="174"/>
      <x:c r="G13" s="174"/>
      <x:c r="H13" s="174"/>
      <x:c r="I13" s="174"/>
      <x:c r="J13" s="174"/>
      <x:c r="K13" s="174"/>
      <x:c r="L13" s="174"/>
      <x:c r="M13" s="174"/>
      <x:c r="N13" s="174"/>
      <x:c r="P13" s="445" t="str">
        <x:f>TEXT(Rolling_Forecast!E4,"mmm")</x:f>
        <x:v>Apr</x:v>
      </x:c>
      <x:c r="Q13" s="446" t="n">
        <x:f>Budget_2026!E7</x:f>
        <x:v>1.4976</x:v>
      </x:c>
      <x:c r="R13" s="446" t="n">
        <x:f>Rolling_Forecast!E7</x:f>
        <x:v>1.54</x:v>
      </x:c>
    </x:row>
    <x:row r="14">
      <x:c r="A14" s="250" t="n">
        <x:f>Rolling_Forecast!F4</x:f>
        <x:v>46143</x:v>
      </x:c>
      <x:c r="B14" s="278" t="n">
        <x:f>Budget_2026!F7</x:f>
        <x:v>1.536</x:v>
      </x:c>
      <x:c r="C14" s="278" t="n">
        <x:f>IF(Rolling_Forecast!F5="Actual",Rolling_Forecast!F7,"")</x:f>
        <x:v>1.58</x:v>
      </x:c>
      <x:c r="D14" s="278" t="n">
        <x:f>Rolling_Forecast!F7</x:f>
        <x:v>1.58</x:v>
      </x:c>
      <x:c r="E14" s="174"/>
      <x:c r="F14" s="174"/>
      <x:c r="G14" s="174"/>
      <x:c r="H14" s="174"/>
      <x:c r="I14" s="174"/>
      <x:c r="J14" s="174"/>
      <x:c r="K14" s="174"/>
      <x:c r="L14" s="174"/>
      <x:c r="M14" s="174"/>
      <x:c r="N14" s="174"/>
      <x:c r="P14" s="445" t="str">
        <x:f>TEXT(Rolling_Forecast!F4,"mmm")</x:f>
        <x:v>May</x:v>
      </x:c>
      <x:c r="Q14" s="446" t="n">
        <x:f>Budget_2026!F7</x:f>
        <x:v>1.536</x:v>
      </x:c>
      <x:c r="R14" s="446" t="n">
        <x:f>Rolling_Forecast!F7</x:f>
        <x:v>1.58</x:v>
      </x:c>
    </x:row>
    <x:row r="15">
      <x:c r="A15" s="250" t="n">
        <x:f>Rolling_Forecast!G4</x:f>
        <x:v>46174</x:v>
      </x:c>
      <x:c r="B15" s="278" t="n">
        <x:f>Budget_2026!G7</x:f>
        <x:v>1.5552</x:v>
      </x:c>
      <x:c r="C15" s="278" t="n">
        <x:f>IF(Rolling_Forecast!G5="Actual",Rolling_Forecast!G7,"")</x:f>
        <x:v>1.62</x:v>
      </x:c>
      <x:c r="D15" s="278" t="n">
        <x:f>Rolling_Forecast!G7</x:f>
        <x:v>1.62</x:v>
      </x:c>
      <x:c r="E15" s="174"/>
      <x:c r="F15" s="174"/>
      <x:c r="G15" s="174"/>
      <x:c r="H15" s="174"/>
      <x:c r="I15" s="174"/>
      <x:c r="J15" s="174"/>
      <x:c r="K15" s="174"/>
      <x:c r="L15" s="174"/>
      <x:c r="M15" s="174"/>
      <x:c r="N15" s="174"/>
      <x:c r="P15" s="445" t="str">
        <x:f>TEXT(Rolling_Forecast!G4,"mmm")</x:f>
        <x:v>Jun</x:v>
      </x:c>
      <x:c r="Q15" s="446" t="n">
        <x:f>Budget_2026!G7</x:f>
        <x:v>1.5552</x:v>
      </x:c>
      <x:c r="R15" s="446" t="n">
        <x:f>Rolling_Forecast!G7</x:f>
        <x:v>1.62</x:v>
      </x:c>
    </x:row>
    <x:row r="16">
      <x:c r="A16" s="250" t="n">
        <x:f>Rolling_Forecast!H4</x:f>
        <x:v>46204</x:v>
      </x:c>
      <x:c r="B16" s="278" t="n">
        <x:f>Budget_2026!H7</x:f>
        <x:v>1.5744</x:v>
      </x:c>
      <x:c r="C16" s="278" t="n">
        <x:f>IF(Rolling_Forecast!H5="Actual",Rolling_Forecast!H7,"")</x:f>
        <x:v>1.66</x:v>
      </x:c>
      <x:c r="D16" s="278" t="n">
        <x:f>Rolling_Forecast!H7</x:f>
        <x:v>1.66</x:v>
      </x:c>
      <x:c r="E16" s="174"/>
      <x:c r="F16" s="174"/>
      <x:c r="G16" s="174"/>
      <x:c r="H16" s="174"/>
      <x:c r="I16" s="174"/>
      <x:c r="J16" s="174"/>
      <x:c r="K16" s="174"/>
      <x:c r="L16" s="174"/>
      <x:c r="M16" s="174"/>
      <x:c r="N16" s="174"/>
      <x:c r="P16" s="445" t="str">
        <x:f>TEXT(Rolling_Forecast!H4,"mmm")</x:f>
        <x:v>Jul</x:v>
      </x:c>
      <x:c r="Q16" s="446" t="n">
        <x:f>Budget_2026!H7</x:f>
        <x:v>1.5744</x:v>
      </x:c>
      <x:c r="R16" s="446" t="n">
        <x:f>Rolling_Forecast!H7</x:f>
        <x:v>1.66</x:v>
      </x:c>
    </x:row>
    <x:row r="17">
      <x:c r="A17" s="250" t="n">
        <x:f>Rolling_Forecast!I4</x:f>
        <x:v>46235</x:v>
      </x:c>
      <x:c r="B17" s="278" t="n">
        <x:f>Budget_2026!I7</x:f>
        <x:v>1.5936000000000001</x:v>
      </x:c>
      <x:c r="C17" s="278" t="n">
        <x:f>IF(Rolling_Forecast!I5="Actual",Rolling_Forecast!I7,"")</x:f>
        <x:v>1.7</x:v>
      </x:c>
      <x:c r="D17" s="278" t="n">
        <x:f>Rolling_Forecast!I7</x:f>
        <x:v>1.7</x:v>
      </x:c>
      <x:c r="E17" s="174"/>
      <x:c r="F17" s="174"/>
      <x:c r="G17" s="174"/>
      <x:c r="H17" s="174"/>
      <x:c r="I17" s="174"/>
      <x:c r="J17" s="174"/>
      <x:c r="K17" s="174"/>
      <x:c r="L17" s="174"/>
      <x:c r="M17" s="174"/>
      <x:c r="N17" s="174"/>
      <x:c r="P17" s="445" t="str">
        <x:f>TEXT(Rolling_Forecast!I4,"mmm")</x:f>
        <x:v>Aug</x:v>
      </x:c>
      <x:c r="Q17" s="446" t="n">
        <x:f>Budget_2026!I7</x:f>
        <x:v>1.5936000000000001</x:v>
      </x:c>
      <x:c r="R17" s="446" t="n">
        <x:f>Rolling_Forecast!I7</x:f>
        <x:v>1.7</x:v>
      </x:c>
    </x:row>
    <x:row r="18">
      <x:c r="A18" s="250" t="n">
        <x:f>Rolling_Forecast!J4</x:f>
        <x:v>46266</x:v>
      </x:c>
      <x:c r="B18" s="278" t="n">
        <x:f>Budget_2026!J7</x:f>
        <x:v>1.6320000000000001</x:v>
      </x:c>
      <x:c r="C18" s="278" t="str">
        <x:f>IF(Rolling_Forecast!J5="Actual",Rolling_Forecast!J7,"")</x:f>
      </x:c>
      <x:c r="D18" s="278" t="n">
        <x:f>Rolling_Forecast!J7</x:f>
        <x:v>1.6864864864864866</x:v>
      </x:c>
      <x:c r="E18" s="174"/>
      <x:c r="F18" s="174"/>
      <x:c r="G18" s="174"/>
      <x:c r="H18" s="174"/>
      <x:c r="I18" s="174"/>
      <x:c r="J18" s="174"/>
      <x:c r="K18" s="174"/>
      <x:c r="L18" s="174"/>
      <x:c r="M18" s="174"/>
      <x:c r="N18" s="174"/>
      <x:c r="P18" s="445" t="str">
        <x:f>TEXT(Rolling_Forecast!J4,"mmm")</x:f>
        <x:v>Sep</x:v>
      </x:c>
      <x:c r="Q18" s="446" t="n">
        <x:f>Budget_2026!J7</x:f>
        <x:v>1.6320000000000001</x:v>
      </x:c>
      <x:c r="R18" s="446" t="n">
        <x:f>Rolling_Forecast!J7</x:f>
        <x:v>1.6864864864864866</x:v>
      </x:c>
    </x:row>
    <x:row r="19">
      <x:c r="A19" s="250" t="n">
        <x:f>Rolling_Forecast!K4</x:f>
        <x:v>46296</x:v>
      </x:c>
      <x:c r="B19" s="278" t="n">
        <x:f>Budget_2026!K7</x:f>
        <x:v>1.6703999999999999</x:v>
      </x:c>
      <x:c r="C19" s="278" t="str">
        <x:f>IF(Rolling_Forecast!K5="Actual",Rolling_Forecast!K7,"")</x:f>
      </x:c>
      <x:c r="D19" s="278" t="n">
        <x:f>Rolling_Forecast!K7</x:f>
        <x:v>1.726168521462639</x:v>
      </x:c>
      <x:c r="E19" s="174"/>
      <x:c r="F19" s="174"/>
      <x:c r="G19" s="174"/>
      <x:c r="H19" s="174"/>
      <x:c r="I19" s="174"/>
      <x:c r="J19" s="174"/>
      <x:c r="K19" s="174"/>
      <x:c r="L19" s="174"/>
      <x:c r="M19" s="174"/>
      <x:c r="N19" s="174"/>
      <x:c r="P19" s="445" t="str">
        <x:f>TEXT(Rolling_Forecast!K4,"mmm")</x:f>
        <x:v>Oct</x:v>
      </x:c>
      <x:c r="Q19" s="446" t="n">
        <x:f>Budget_2026!K7</x:f>
        <x:v>1.6703999999999999</x:v>
      </x:c>
      <x:c r="R19" s="446" t="n">
        <x:f>Rolling_Forecast!K7</x:f>
        <x:v>1.726168521462639</x:v>
      </x:c>
    </x:row>
    <x:row r="20">
      <x:c r="A20" s="250" t="n">
        <x:f>Rolling_Forecast!L4</x:f>
        <x:v>46327</x:v>
      </x:c>
      <x:c r="B20" s="278" t="n">
        <x:f>Budget_2026!L7</x:f>
        <x:v>1.7664</x:v>
      </x:c>
      <x:c r="C20" s="278" t="str">
        <x:f>IF(Rolling_Forecast!L5="Actual",Rolling_Forecast!L7,"")</x:f>
      </x:c>
      <x:c r="D20" s="278" t="n">
        <x:f>Rolling_Forecast!L7</x:f>
        <x:v>1.8253736089030206</x:v>
      </x:c>
      <x:c r="E20" s="174"/>
      <x:c r="F20" s="174"/>
      <x:c r="G20" s="174"/>
      <x:c r="H20" s="174"/>
      <x:c r="I20" s="174"/>
      <x:c r="J20" s="174"/>
      <x:c r="K20" s="174"/>
      <x:c r="L20" s="174"/>
      <x:c r="M20" s="174"/>
      <x:c r="N20" s="174"/>
      <x:c r="P20" s="445" t="str">
        <x:f>TEXT(Rolling_Forecast!L4,"mmm")</x:f>
        <x:v>Nov</x:v>
      </x:c>
      <x:c r="Q20" s="446" t="n">
        <x:f>Budget_2026!L7</x:f>
        <x:v>1.7664</x:v>
      </x:c>
      <x:c r="R20" s="446" t="n">
        <x:f>Rolling_Forecast!L7</x:f>
        <x:v>1.8253736089030206</x:v>
      </x:c>
    </x:row>
    <x:row r="21">
      <x:c r="A21" s="250" t="n">
        <x:f>Rolling_Forecast!M4</x:f>
        <x:v>46357</x:v>
      </x:c>
      <x:c r="B21" s="278" t="n">
        <x:f>Budget_2026!M7</x:f>
        <x:v>2.0544</x:v>
      </x:c>
      <x:c r="C21" s="278" t="str">
        <x:f>IF(Rolling_Forecast!M5="Actual",Rolling_Forecast!M7,"")</x:f>
      </x:c>
      <x:c r="D21" s="278" t="n">
        <x:f>Rolling_Forecast!M7</x:f>
        <x:v>2.122988871224165</x:v>
      </x:c>
      <x:c r="E21" s="174"/>
      <x:c r="F21" s="174"/>
      <x:c r="G21" s="174"/>
      <x:c r="H21" s="174"/>
      <x:c r="I21" s="174"/>
      <x:c r="J21" s="174"/>
      <x:c r="K21" s="174"/>
      <x:c r="L21" s="174"/>
      <x:c r="M21" s="174"/>
      <x:c r="N21" s="174"/>
      <x:c r="P21" s="445" t="str">
        <x:f>TEXT(Rolling_Forecast!M4,"mmm")</x:f>
        <x:v>Dec</x:v>
      </x:c>
      <x:c r="Q21" s="446" t="n">
        <x:f>Budget_2026!M7</x:f>
        <x:v>2.0544</x:v>
      </x:c>
      <x:c r="R21" s="446" t="n">
        <x:f>Rolling_Forecast!M7</x:f>
        <x:v>2.122988871224165</x:v>
      </x:c>
    </x:row>
    <x:row r="22">
      <x:c r="A22" s="174"/>
      <x:c r="B22" s="174"/>
      <x:c r="C22" s="174"/>
      <x:c r="D22" s="174"/>
      <x:c r="E22" s="174"/>
      <x:c r="F22" s="174"/>
      <x:c r="G22" s="174"/>
      <x:c r="H22" s="174"/>
      <x:c r="I22" s="174"/>
      <x:c r="J22" s="174"/>
      <x:c r="K22" s="174"/>
      <x:c r="L22" s="174"/>
      <x:c r="M22" s="174"/>
      <x:c r="N22" s="174"/>
      <x:c r="P22" s="444"/>
      <x:c r="Q22" s="444"/>
      <x:c r="R22" s="444"/>
    </x:row>
    <x:row r="23" ht="20" customHeight="1">
      <x:c r="A23" s="244" t="str">
        <x:v>Monthly EBITDA: Budget vs Actual / Forecast</x:v>
      </x:c>
      <x:c r="B23" s="244"/>
      <x:c r="C23" s="244"/>
      <x:c r="D23" s="244"/>
      <x:c r="E23" s="244"/>
      <x:c r="F23" s="244"/>
      <x:c r="G23" s="244"/>
      <x:c r="H23" s="244"/>
      <x:c r="I23" s="244"/>
      <x:c r="J23" s="244"/>
      <x:c r="K23" s="244"/>
      <x:c r="L23" s="244"/>
      <x:c r="M23" s="244"/>
      <x:c r="N23" s="244"/>
      <x:c r="P23" s="444"/>
      <x:c r="Q23" s="444"/>
      <x:c r="R23" s="444"/>
    </x:row>
    <x:row r="24">
      <x:c r="A24" s="270" t="str">
        <x:v>Month</x:v>
      </x:c>
      <x:c r="B24" s="270" t="str">
        <x:v>Budget</x:v>
      </x:c>
      <x:c r="C24" s="270" t="str">
        <x:v>Actual</x:v>
      </x:c>
      <x:c r="D24" s="270" t="str">
        <x:v>Rolling Forecast</x:v>
      </x:c>
      <x:c r="E24" s="174"/>
      <x:c r="F24" s="174"/>
      <x:c r="G24" s="174"/>
      <x:c r="H24" s="174"/>
      <x:c r="I24" s="174"/>
      <x:c r="J24" s="174"/>
      <x:c r="K24" s="174"/>
      <x:c r="L24" s="174"/>
      <x:c r="M24" s="174"/>
      <x:c r="N24" s="174"/>
      <x:c r="P24" s="444" t="str">
        <x:v>Month</x:v>
      </x:c>
      <x:c r="Q24" s="444" t="str">
        <x:v>Budget</x:v>
      </x:c>
      <x:c r="R24" s="444" t="str">
        <x:v>Rolling Forecast</x:v>
      </x:c>
    </x:row>
    <x:row r="25">
      <x:c r="A25" s="250" t="n">
        <x:f>Rolling_Forecast!B4</x:f>
        <x:v>46023</x:v>
      </x:c>
      <x:c r="B25" s="278" t="n">
        <x:f>Budget_2026!B16</x:f>
        <x:v>0.12614399999999992</x:v>
      </x:c>
      <x:c r="C25" s="278" t="n">
        <x:f>IF(Rolling_Forecast!B5="Actual",Rolling_Forecast!B16,"")</x:f>
        <x:v>0.1704</x:v>
      </x:c>
      <x:c r="D25" s="278" t="n">
        <x:f>Rolling_Forecast!B16</x:f>
        <x:v>0.1704</x:v>
      </x:c>
      <x:c r="E25" s="174"/>
      <x:c r="F25" s="174"/>
      <x:c r="G25" s="174"/>
      <x:c r="H25" s="174"/>
      <x:c r="I25" s="174"/>
      <x:c r="J25" s="174"/>
      <x:c r="K25" s="174"/>
      <x:c r="L25" s="174"/>
      <x:c r="M25" s="174"/>
      <x:c r="N25" s="174"/>
      <x:c r="P25" s="445" t="str">
        <x:f>TEXT(Rolling_Forecast!B4,"mmm")</x:f>
        <x:v>Jan</x:v>
      </x:c>
      <x:c r="Q25" s="446" t="n">
        <x:f>Budget_2026!B16</x:f>
        <x:v>0.12614399999999992</x:v>
      </x:c>
      <x:c r="R25" s="446" t="n">
        <x:f>Rolling_Forecast!B16</x:f>
        <x:v>0.1704</x:v>
      </x:c>
    </x:row>
    <x:row r="26">
      <x:c r="A26" s="250" t="n">
        <x:f>Rolling_Forecast!C4</x:f>
        <x:v>46054</x:v>
      </x:c>
      <x:c r="B26" s="278" t="n">
        <x:f>Budget_2026!C16</x:f>
        <x:v>0.12960000000000005</x:v>
      </x:c>
      <x:c r="C26" s="278" t="n">
        <x:f>IF(Rolling_Forecast!C5="Actual",Rolling_Forecast!C16,"")</x:f>
        <x:v>0.17520000000000002</x:v>
      </x:c>
      <x:c r="D26" s="278" t="n">
        <x:f>Rolling_Forecast!C16</x:f>
        <x:v>0.17520000000000002</x:v>
      </x:c>
      <x:c r="E26" s="174"/>
      <x:c r="F26" s="174"/>
      <x:c r="G26" s="174"/>
      <x:c r="H26" s="174"/>
      <x:c r="I26" s="174"/>
      <x:c r="J26" s="174"/>
      <x:c r="K26" s="174"/>
      <x:c r="L26" s="174"/>
      <x:c r="M26" s="174"/>
      <x:c r="N26" s="174"/>
      <x:c r="P26" s="445" t="str">
        <x:f>TEXT(Rolling_Forecast!C4,"mmm")</x:f>
        <x:v>Feb</x:v>
      </x:c>
      <x:c r="Q26" s="446" t="n">
        <x:f>Budget_2026!C16</x:f>
        <x:v>0.12960000000000005</x:v>
      </x:c>
      <x:c r="R26" s="446" t="n">
        <x:f>Rolling_Forecast!C16</x:f>
        <x:v>0.17520000000000002</x:v>
      </x:c>
    </x:row>
    <x:row r="27">
      <x:c r="A27" s="250" t="n">
        <x:f>Rolling_Forecast!D4</x:f>
        <x:v>46082</x:v>
      </x:c>
      <x:c r="B27" s="278" t="n">
        <x:f>Budget_2026!D16</x:f>
        <x:v>0.13305599999999984</x:v>
      </x:c>
      <x:c r="C27" s="278" t="n">
        <x:f>IF(Rolling_Forecast!D5="Actual",Rolling_Forecast!D16,"")</x:f>
        <x:v>0.18000000000000005</x:v>
      </x:c>
      <x:c r="D27" s="278" t="n">
        <x:f>Rolling_Forecast!D16</x:f>
        <x:v>0.18000000000000005</x:v>
      </x:c>
      <x:c r="E27" s="174"/>
      <x:c r="F27" s="174"/>
      <x:c r="G27" s="174"/>
      <x:c r="H27" s="174"/>
      <x:c r="I27" s="174"/>
      <x:c r="J27" s="174"/>
      <x:c r="K27" s="174"/>
      <x:c r="L27" s="174"/>
      <x:c r="M27" s="174"/>
      <x:c r="N27" s="174"/>
      <x:c r="P27" s="445" t="str">
        <x:f>TEXT(Rolling_Forecast!D4,"mmm")</x:f>
        <x:v>Mar</x:v>
      </x:c>
      <x:c r="Q27" s="446" t="n">
        <x:f>Budget_2026!D16</x:f>
        <x:v>0.13305599999999984</x:v>
      </x:c>
      <x:c r="R27" s="446" t="n">
        <x:f>Rolling_Forecast!D16</x:f>
        <x:v>0.18000000000000005</x:v>
      </x:c>
    </x:row>
    <x:row r="28">
      <x:c r="A28" s="250" t="n">
        <x:f>Rolling_Forecast!E4</x:f>
        <x:v>46113</x:v>
      </x:c>
      <x:c r="B28" s="278" t="n">
        <x:f>Budget_2026!E16</x:f>
        <x:v>0.13478400000000013</x:v>
      </x:c>
      <x:c r="C28" s="278" t="n">
        <x:f>IF(Rolling_Forecast!E5="Actual",Rolling_Forecast!E16,"")</x:f>
        <x:v>0.18479999999999996</x:v>
      </x:c>
      <x:c r="D28" s="278" t="n">
        <x:f>Rolling_Forecast!E16</x:f>
        <x:v>0.18479999999999996</x:v>
      </x:c>
      <x:c r="E28" s="174"/>
      <x:c r="F28" s="174"/>
      <x:c r="G28" s="174"/>
      <x:c r="H28" s="174"/>
      <x:c r="I28" s="174"/>
      <x:c r="J28" s="174"/>
      <x:c r="K28" s="174"/>
      <x:c r="L28" s="174"/>
      <x:c r="M28" s="174"/>
      <x:c r="N28" s="174"/>
      <x:c r="P28" s="445" t="str">
        <x:f>TEXT(Rolling_Forecast!E4,"mmm")</x:f>
        <x:v>Apr</x:v>
      </x:c>
      <x:c r="Q28" s="446" t="n">
        <x:f>Budget_2026!E16</x:f>
        <x:v>0.13478400000000013</x:v>
      </x:c>
      <x:c r="R28" s="446" t="n">
        <x:f>Rolling_Forecast!E16</x:f>
        <x:v>0.18479999999999996</x:v>
      </x:c>
    </x:row>
    <x:row r="29">
      <x:c r="A29" s="250" t="n">
        <x:f>Rolling_Forecast!F4</x:f>
        <x:v>46143</x:v>
      </x:c>
      <x:c r="B29" s="278" t="n">
        <x:f>Budget_2026!F16</x:f>
        <x:v>0.1382399999999997</x:v>
      </x:c>
      <x:c r="C29" s="278" t="n">
        <x:f>IF(Rolling_Forecast!F5="Actual",Rolling_Forecast!F16,"")</x:f>
        <x:v>0.1896000000000001</x:v>
      </x:c>
      <x:c r="D29" s="278" t="n">
        <x:f>Rolling_Forecast!F16</x:f>
        <x:v>0.1896000000000001</x:v>
      </x:c>
      <x:c r="E29" s="174"/>
      <x:c r="F29" s="174"/>
      <x:c r="G29" s="174"/>
      <x:c r="H29" s="174"/>
      <x:c r="I29" s="174"/>
      <x:c r="J29" s="174"/>
      <x:c r="K29" s="174"/>
      <x:c r="L29" s="174"/>
      <x:c r="M29" s="174"/>
      <x:c r="N29" s="174"/>
      <x:c r="P29" s="445" t="str">
        <x:f>TEXT(Rolling_Forecast!F4,"mmm")</x:f>
        <x:v>May</x:v>
      </x:c>
      <x:c r="Q29" s="446" t="n">
        <x:f>Budget_2026!F16</x:f>
        <x:v>0.1382399999999997</x:v>
      </x:c>
      <x:c r="R29" s="446" t="n">
        <x:f>Rolling_Forecast!F16</x:f>
        <x:v>0.1896000000000001</x:v>
      </x:c>
    </x:row>
    <x:row r="30">
      <x:c r="A30" s="250" t="n">
        <x:f>Rolling_Forecast!G4</x:f>
        <x:v>46174</x:v>
      </x:c>
      <x:c r="B30" s="278" t="n">
        <x:f>Budget_2026!G16</x:f>
        <x:v>0.13996799999999987</x:v>
      </x:c>
      <x:c r="C30" s="278" t="n">
        <x:f>IF(Rolling_Forecast!G5="Actual",Rolling_Forecast!G16,"")</x:f>
        <x:v>0.19440000000000013</x:v>
      </x:c>
      <x:c r="D30" s="278" t="n">
        <x:f>Rolling_Forecast!G16</x:f>
        <x:v>0.19440000000000013</x:v>
      </x:c>
      <x:c r="E30" s="174"/>
      <x:c r="F30" s="174"/>
      <x:c r="G30" s="174"/>
      <x:c r="H30" s="174"/>
      <x:c r="I30" s="174"/>
      <x:c r="J30" s="174"/>
      <x:c r="K30" s="174"/>
      <x:c r="L30" s="174"/>
      <x:c r="M30" s="174"/>
      <x:c r="N30" s="174"/>
      <x:c r="P30" s="445" t="str">
        <x:f>TEXT(Rolling_Forecast!G4,"mmm")</x:f>
        <x:v>Jun</x:v>
      </x:c>
      <x:c r="Q30" s="446" t="n">
        <x:f>Budget_2026!G16</x:f>
        <x:v>0.13996799999999987</x:v>
      </x:c>
      <x:c r="R30" s="446" t="n">
        <x:f>Rolling_Forecast!G16</x:f>
        <x:v>0.19440000000000013</x:v>
      </x:c>
    </x:row>
    <x:row r="31">
      <x:c r="A31" s="250" t="n">
        <x:f>Rolling_Forecast!H4</x:f>
        <x:v>46204</x:v>
      </x:c>
      <x:c r="B31" s="278" t="n">
        <x:f>Budget_2026!H16</x:f>
        <x:v>0.14169599999999982</x:v>
      </x:c>
      <x:c r="C31" s="278" t="n">
        <x:f>IF(Rolling_Forecast!H5="Actual",Rolling_Forecast!H16,"")</x:f>
        <x:v>0.19920000000000004</x:v>
      </x:c>
      <x:c r="D31" s="278" t="n">
        <x:f>Rolling_Forecast!H16</x:f>
        <x:v>0.19920000000000004</x:v>
      </x:c>
      <x:c r="E31" s="174"/>
      <x:c r="F31" s="174"/>
      <x:c r="G31" s="174"/>
      <x:c r="H31" s="174"/>
      <x:c r="I31" s="174"/>
      <x:c r="J31" s="174"/>
      <x:c r="K31" s="174"/>
      <x:c r="L31" s="174"/>
      <x:c r="M31" s="174"/>
      <x:c r="N31" s="174"/>
      <x:c r="P31" s="445" t="str">
        <x:f>TEXT(Rolling_Forecast!H4,"mmm")</x:f>
        <x:v>Jul</x:v>
      </x:c>
      <x:c r="Q31" s="446" t="n">
        <x:f>Budget_2026!H16</x:f>
        <x:v>0.14169599999999982</x:v>
      </x:c>
      <x:c r="R31" s="446" t="n">
        <x:f>Rolling_Forecast!H16</x:f>
        <x:v>0.19920000000000004</x:v>
      </x:c>
    </x:row>
    <x:row r="32">
      <x:c r="A32" s="250" t="n">
        <x:f>Rolling_Forecast!I4</x:f>
        <x:v>46235</x:v>
      </x:c>
      <x:c r="B32" s="278" t="n">
        <x:f>Budget_2026!I16</x:f>
        <x:v>0.14342400000000022</x:v>
      </x:c>
      <x:c r="C32" s="278" t="n">
        <x:f>IF(Rolling_Forecast!I5="Actual",Rolling_Forecast!I16,"")</x:f>
        <x:v>0.20399999999999974</x:v>
      </x:c>
      <x:c r="D32" s="278" t="n">
        <x:f>Rolling_Forecast!I16</x:f>
        <x:v>0.20399999999999974</x:v>
      </x:c>
      <x:c r="E32" s="174"/>
      <x:c r="F32" s="174"/>
      <x:c r="G32" s="174"/>
      <x:c r="H32" s="174"/>
      <x:c r="I32" s="174"/>
      <x:c r="J32" s="174"/>
      <x:c r="K32" s="174"/>
      <x:c r="L32" s="174"/>
      <x:c r="M32" s="174"/>
      <x:c r="N32" s="174"/>
      <x:c r="P32" s="445" t="str">
        <x:f>TEXT(Rolling_Forecast!I4,"mmm")</x:f>
        <x:v>Aug</x:v>
      </x:c>
      <x:c r="Q32" s="446" t="n">
        <x:f>Budget_2026!I16</x:f>
        <x:v>0.14342400000000022</x:v>
      </x:c>
      <x:c r="R32" s="446" t="n">
        <x:f>Rolling_Forecast!I16</x:f>
        <x:v>0.20399999999999974</x:v>
      </x:c>
    </x:row>
    <x:row r="33">
      <x:c r="A33" s="250" t="n">
        <x:f>Rolling_Forecast!J4</x:f>
        <x:v>46266</x:v>
      </x:c>
      <x:c r="B33" s="278" t="n">
        <x:f>Budget_2026!J16</x:f>
        <x:v>0.1468799999999999</x:v>
      </x:c>
      <x:c r="C33" s="278" t="str">
        <x:f>IF(Rolling_Forecast!J5="Actual",Rolling_Forecast!J16,"")</x:f>
      </x:c>
      <x:c r="D33" s="278" t="n">
        <x:f>Rolling_Forecast!J16</x:f>
        <x:v>0.22767567567567548</x:v>
      </x:c>
      <x:c r="E33" s="174"/>
      <x:c r="F33" s="174"/>
      <x:c r="G33" s="174"/>
      <x:c r="H33" s="174"/>
      <x:c r="I33" s="174"/>
      <x:c r="J33" s="174"/>
      <x:c r="K33" s="174"/>
      <x:c r="L33" s="174"/>
      <x:c r="M33" s="174"/>
      <x:c r="N33" s="174"/>
      <x:c r="P33" s="445" t="str">
        <x:f>TEXT(Rolling_Forecast!J4,"mmm")</x:f>
        <x:v>Sep</x:v>
      </x:c>
      <x:c r="Q33" s="446" t="n">
        <x:f>Budget_2026!J16</x:f>
        <x:v>0.1468799999999999</x:v>
      </x:c>
      <x:c r="R33" s="446" t="n">
        <x:f>Rolling_Forecast!J16</x:f>
        <x:v>0.22767567567567548</x:v>
      </x:c>
    </x:row>
    <x:row r="34">
      <x:c r="A34" s="250" t="n">
        <x:f>Rolling_Forecast!K4</x:f>
        <x:v>46296</x:v>
      </x:c>
      <x:c r="B34" s="278" t="n">
        <x:f>Budget_2026!K16</x:f>
        <x:v>0.15033600000000003</x:v>
      </x:c>
      <x:c r="C34" s="278" t="str">
        <x:f>IF(Rolling_Forecast!K5="Actual",Rolling_Forecast!K16,"")</x:f>
      </x:c>
      <x:c r="D34" s="278" t="n">
        <x:f>Rolling_Forecast!K16</x:f>
        <x:v>0.23303275039745608</x:v>
      </x:c>
      <x:c r="E34" s="174"/>
      <x:c r="F34" s="174"/>
      <x:c r="G34" s="174"/>
      <x:c r="H34" s="174"/>
      <x:c r="I34" s="174"/>
      <x:c r="J34" s="174"/>
      <x:c r="K34" s="174"/>
      <x:c r="L34" s="174"/>
      <x:c r="M34" s="174"/>
      <x:c r="N34" s="174"/>
      <x:c r="P34" s="445" t="str">
        <x:f>TEXT(Rolling_Forecast!K4,"mmm")</x:f>
        <x:v>Oct</x:v>
      </x:c>
      <x:c r="Q34" s="446" t="n">
        <x:f>Budget_2026!K16</x:f>
        <x:v>0.15033600000000003</x:v>
      </x:c>
      <x:c r="R34" s="446" t="n">
        <x:f>Rolling_Forecast!K16</x:f>
        <x:v>0.23303275039745608</x:v>
      </x:c>
    </x:row>
    <x:row r="35">
      <x:c r="A35" s="250" t="n">
        <x:f>Rolling_Forecast!L4</x:f>
        <x:v>46327</x:v>
      </x:c>
      <x:c r="B35" s="278" t="n">
        <x:f>Budget_2026!L16</x:f>
        <x:v>0.158976</x:v>
      </x:c>
      <x:c r="C35" s="278" t="str">
        <x:f>IF(Rolling_Forecast!L5="Actual",Rolling_Forecast!L16,"")</x:f>
      </x:c>
      <x:c r="D35" s="278" t="n">
        <x:f>Rolling_Forecast!L16</x:f>
        <x:v>0.24642543720190768</x:v>
      </x:c>
      <x:c r="E35" s="174"/>
      <x:c r="F35" s="174"/>
      <x:c r="G35" s="174"/>
      <x:c r="H35" s="174"/>
      <x:c r="I35" s="174"/>
      <x:c r="J35" s="174"/>
      <x:c r="K35" s="174"/>
      <x:c r="L35" s="174"/>
      <x:c r="M35" s="174"/>
      <x:c r="N35" s="174"/>
      <x:c r="P35" s="445" t="str">
        <x:f>TEXT(Rolling_Forecast!L4,"mmm")</x:f>
        <x:v>Nov</x:v>
      </x:c>
      <x:c r="Q35" s="446" t="n">
        <x:f>Budget_2026!L16</x:f>
        <x:v>0.158976</x:v>
      </x:c>
      <x:c r="R35" s="446" t="n">
        <x:f>Rolling_Forecast!L16</x:f>
        <x:v>0.24642543720190768</x:v>
      </x:c>
    </x:row>
    <x:row r="36">
      <x:c r="A36" s="250" t="n">
        <x:f>Rolling_Forecast!M4</x:f>
        <x:v>46357</x:v>
      </x:c>
      <x:c r="B36" s="278" t="n">
        <x:f>Budget_2026!M16</x:f>
        <x:v>0.18489600000000017</x:v>
      </x:c>
      <x:c r="C36" s="278" t="str">
        <x:f>IF(Rolling_Forecast!M5="Actual",Rolling_Forecast!M16,"")</x:f>
      </x:c>
      <x:c r="D36" s="278" t="n">
        <x:f>Rolling_Forecast!M16</x:f>
        <x:v>0.28660349761526227</x:v>
      </x:c>
      <x:c r="E36" s="174"/>
      <x:c r="F36" s="174"/>
      <x:c r="G36" s="174"/>
      <x:c r="H36" s="174"/>
      <x:c r="I36" s="174"/>
      <x:c r="J36" s="174"/>
      <x:c r="K36" s="174"/>
      <x:c r="L36" s="174"/>
      <x:c r="M36" s="174"/>
      <x:c r="N36" s="174"/>
      <x:c r="P36" s="445" t="str">
        <x:f>TEXT(Rolling_Forecast!M4,"mmm")</x:f>
        <x:v>Dec</x:v>
      </x:c>
      <x:c r="Q36" s="446" t="n">
        <x:f>Budget_2026!M16</x:f>
        <x:v>0.18489600000000017</x:v>
      </x:c>
      <x:c r="R36" s="446" t="n">
        <x:f>Rolling_Forecast!M16</x:f>
        <x:v>0.28660349761526227</x:v>
      </x:c>
    </x:row>
  </x:sheetData>
  <x:mergeCells>
    <x:mergeCell ref="A1:N1"/>
    <x:mergeCell ref="A2:N2"/>
    <x:mergeCell ref="A4:B4"/>
    <x:mergeCell ref="A5:B6"/>
    <x:mergeCell ref="D4:E4"/>
    <x:mergeCell ref="D5:E6"/>
    <x:mergeCell ref="G4:H4"/>
    <x:mergeCell ref="G5:H6"/>
    <x:mergeCell ref="J4:K4"/>
    <x:mergeCell ref="J5:K6"/>
    <x:mergeCell ref="M4:N4"/>
    <x:mergeCell ref="M5:N6"/>
    <x:mergeCell ref="A8:N8"/>
    <x:mergeCell ref="A23:N23"/>
  </x:mergeCells>
  <x:pageMargins left="0.7" right="0.7" top="0.75" bottom="0.75" header="0.3" footer="0.3"/>
  <x:drawing xmlns:r="http://schemas.openxmlformats.org/officeDocument/2006/relationships" r:id="R7cdd0ba092f34111"/>
</x:worksheet>
</file>

<file path=xl/worksheets/sheet20.xml><?xml version="1.0" encoding="utf-8"?>
<x:worksheet xmlns:x="http://schemas.openxmlformats.org/spreadsheetml/2006/main">
  <x:sheetFormatPr defaultRowHeight="15"/>
  <x:cols>
    <x:col min="1" max="1" width="28" hidden="0" customWidth="1"/>
    <x:col min="2" max="2" width="48" hidden="0" customWidth="1"/>
    <x:col min="3" max="3" width="19" hidden="0" customWidth="1"/>
    <x:col min="4" max="4" width="16" hidden="0" customWidth="1"/>
    <x:col min="5" max="5" width="20" hidden="0" customWidth="1"/>
    <x:col min="6" max="6" width="22" hidden="0" customWidth="1"/>
    <x:col min="7" max="7" width="36" hidden="0" customWidth="1"/>
  </x:cols>
  <x:sheetData>
    <x:row r="1" ht="24" customHeight="1">
      <x:c r="A1" s="457" t="str">
        <x:v>Data Refresh &amp; Power Query Control | Portfolio Release v1.5.1</x:v>
      </x:c>
      <x:c r="B1" s="457"/>
      <x:c r="C1" s="457"/>
      <x:c r="D1" s="457"/>
      <x:c r="E1" s="457"/>
      <x:c r="F1" s="457"/>
      <x:c r="G1" s="457"/>
    </x:row>
    <x:row r="2" ht="36" customHeight="1">
      <x:c r="A2" s="180" t="str">
        <x:v>External CSV → Power Query → PQ_Actuals landing zone → account mapping → staging → BvA → rolling forecast → dashboards → AI commentary.</x:v>
      </x:c>
      <x:c r="B2" s="180"/>
      <x:c r="C2" s="180"/>
      <x:c r="D2" s="180"/>
      <x:c r="E2" s="180"/>
      <x:c r="F2" s="180"/>
      <x:c r="G2" s="180"/>
    </x:row>
    <x:row r="4">
      <x:c r="A4" s="428" t="str">
        <x:v>Refresh Configuration — edit SourcePath once</x:v>
      </x:c>
      <x:c r="B4" s="428"/>
      <x:c r="C4" s="428"/>
      <x:c r="D4" s="428"/>
      <x:c r="E4" s="428" t="str">
        <x:v>Refresh Diagnostics</x:v>
      </x:c>
      <x:c r="F4" s="428"/>
      <x:c r="G4" s="428"/>
    </x:row>
    <x:row r="6" ht="26" customHeight="1">
      <x:c r="A6" s="386" t="str">
        <x:v>SourcePath</x:v>
      </x:c>
      <x:c r="B6" s="386" t="str">
        <x:v>QueryName</x:v>
      </x:c>
      <x:c r="C6" s="386" t="str">
        <x:v>LoadTarget</x:v>
      </x:c>
      <x:c r="D6" s="386" t="str">
        <x:v>ExpectedColumns</x:v>
      </x:c>
      <x:c r="E6" s="386" t="str">
        <x:v>Metric</x:v>
      </x:c>
      <x:c r="F6" s="386" t="str">
        <x:v>Value</x:v>
      </x:c>
      <x:c r="G6" s="386" t="str">
        <x:v>Interpretation</x:v>
      </x:c>
    </x:row>
    <x:row r="7" ht="26" customHeight="1">
      <x:c r="A7" s="456" t="str">
        <x:v>/Users/yourname/Documents/FP&amp;A_Portfolio/AI_FP&amp;A_Actuals_Source_v1.5.csv</x:v>
      </x:c>
      <x:c r="B7" s="407" t="str">
        <x:v>qry_Actuals</x:v>
      </x:c>
      <x:c r="C7" s="407" t="str">
        <x:v>PQ_Actuals!A5</x:v>
      </x:c>
      <x:c r="D7" s="407" t="n">
        <x:v>8</x:v>
      </x:c>
      <x:c r="E7" s="12" t="str">
        <x:v>Landing Rows</x:v>
      </x:c>
      <x:c r="F7" s="12" t="n">
        <x:f>COUNTIF(PQ_Actuals!$B$6:$B$2005,"&lt;&gt;")</x:f>
        <x:v>213</x:v>
      </x:c>
      <x:c r="G7" s="12" t="str">
        <x:v>Rows currently available to the model</x:v>
      </x:c>
    </x:row>
    <x:row r="8" ht="26" customHeight="1">
      <x:c r="E8" s="12" t="str">
        <x:v>Unmapped Rows</x:v>
      </x:c>
      <x:c r="F8" s="435" t="n">
        <x:f>COUNTIF(PQ_Actuals!$J$6:$J$2005,"UNMAPPED")</x:f>
        <x:v>0</x:v>
      </x:c>
      <x:c r="G8" s="12" t="str">
        <x:v>Must be zero before relying on results</x:v>
      </x:c>
    </x:row>
    <x:row r="9" ht="26" customHeight="1">
      <x:c r="E9" s="12" t="str">
        <x:v>Latest Period</x:v>
      </x:c>
      <x:c r="F9" s="393" t="n">
        <x:f>MAX(PQ_Actuals!$A$6:$A$2005)</x:f>
        <x:v>46387</x:v>
      </x:c>
      <x:c r="G9" s="12" t="str">
        <x:v>Latest accounting month in query output</x:v>
      </x:c>
    </x:row>
    <x:row r="10" ht="26" customHeight="1">
      <x:c r="A10" s="381" t="str">
        <x:v>One-Time Power Query Setup in Excel Desktop</x:v>
      </x:c>
      <x:c r="B10" s="381"/>
      <x:c r="C10" s="381"/>
      <x:c r="D10" s="381"/>
      <x:c r="E10" s="12" t="str">
        <x:v>Latest Refresh</x:v>
      </x:c>
      <x:c r="F10" s="547" t="n">
        <x:f>MAX(PQ_Actuals!$I$6:$I$2005)</x:f>
        <x:v>46259.42291666667</x:v>
      </x:c>
      <x:c r="G10" s="12" t="str">
        <x:v>Timestamp changes when query refreshes</x:v>
      </x:c>
    </x:row>
    <x:row r="11" ht="26" customHeight="1">
      <x:c r="A11" s="395" t="str">
        <x:v>1</x:v>
      </x:c>
      <x:c r="B11" s="12" t="str">
        <x:v>Save this workbook and AI_FP&amp;A_Actuals_Source_v1.5.csv in your portfolio folder.</x:v>
      </x:c>
      <x:c r="E11" s="12" t="str">
        <x:v>Query Feed Status</x:v>
      </x:c>
      <x:c r="F11" s="435" t="str">
        <x:f>IF(F7=0,"NO DATA",IF(F8&gt;0,"REVIEW MAPPING","READY"))</x:f>
        <x:v>READY</x:v>
      </x:c>
      <x:c r="G11" s="12" t="str">
        <x:v>Refresh landing-zone control</x:v>
      </x:c>
    </x:row>
    <x:row r="12" ht="26" customHeight="1">
      <x:c r="A12" s="395" t="str">
        <x:v>2</x:v>
      </x:c>
      <x:c r="B12" s="12" t="str">
        <x:v>Update tblPQConfig[SourcePath] above to the full local path of the CSV. Keep the source filename consistent each month.</x:v>
      </x:c>
      <x:c r="E12" s="12" t="str">
        <x:v>Model Import Status</x:v>
      </x:c>
      <x:c r="F12" s="435" t="str">
        <x:f>Actuals_Staging!$B$8</x:f>
        <x:v>READY</x:v>
      </x:c>
      <x:c r="G12" s="12" t="str">
        <x:v>Downstream staging control</x:v>
      </x:c>
    </x:row>
    <x:row r="13" ht="26" customHeight="1">
      <x:c r="A13" s="395" t="str">
        <x:v>3</x:v>
      </x:c>
      <x:c r="B13" s="12" t="str">
        <x:v>Excel: Data → Get Data (Power Query) → Blank Query → Advanced Editor.</x:v>
      </x:c>
    </x:row>
    <x:row r="14" ht="26" customHeight="1">
      <x:c r="A14" s="395" t="str">
        <x:v>4</x:v>
      </x:c>
      <x:c r="B14" s="12" t="str">
        <x:v>Replace the default query with the M code below and name the query qry_Actuals.</x:v>
      </x:c>
    </x:row>
    <x:row r="15" ht="26" customHeight="1">
      <x:c r="A15" s="395" t="str">
        <x:v>5</x:v>
      </x:c>
      <x:c r="B15" s="12" t="str">
        <x:v>Close &amp; Load To… → Existing worksheet → PQ_Actuals!$A$5. The query should load columns A:I.</x:v>
      </x:c>
    </x:row>
    <x:row r="16" ht="26" customHeight="1">
      <x:c r="A16" s="395" t="str">
        <x:v>6</x:v>
      </x:c>
      <x:c r="B16" s="12" t="str">
        <x:v>After setup, replace the CSV with the next monthly ERP/GL export and choose Data → Refresh All.</x:v>
      </x:c>
    </x:row>
    <x:row r="17" ht="26" customHeight="1">
      <x:c r="A17" s="395" t="str">
        <x:v>7</x:v>
      </x:c>
      <x:c r="B17" s="12" t="str">
        <x:v>Confirm both refresh controls are READY, then review BvA, Rolling Forecast, dashboards, and AI commentary.</x:v>
      </x:c>
    </x:row>
    <x:row r="19">
      <x:c r="A19" s="381" t="str">
        <x:v>Power Query M Code — qry_Actuals</x:v>
      </x:c>
      <x:c r="B19" s="381"/>
      <x:c r="C19" s="381"/>
      <x:c r="D19" s="381"/>
      <x:c r="E19" s="381"/>
      <x:c r="F19" s="381"/>
      <x:c r="G19" s="381"/>
    </x:row>
    <x:row r="20" ht="285" customHeight="1">
      <x:c r="A20" s="399" t="str">
        <x:v>let
    Config = Excel.CurrentWorkbook(){[Name="tblPQConfig"]}[Content],
    SourcePath = Text.From(Config{0}[SourcePath]),
    Source = Csv.Document(
        File.Contents(SourcePath),
        [Delimiter=",", Columns=8, Encoding=65001, QuoteStyle=QuoteStyle.Csv]
    ),
    PromotedHeaders = Table.PromoteHeaders(Source, [PromoteAllScalars=true]),
    ChangedTypes = Table.TransformColumnTypes(
        PromotedHeaders,
        {
            {"Period End", type date},
            {"Account Code", type text},
            {"Account Name", type text},
            {"Department", type text},
            {"Data Type", type text},
            {"Source Amount ($mm)", type number},
            {"Source System", type text},
            {"Import Batch", type text}
        }
    ),
    CleanText = Table.TransformColumns(
        ChangedTypes,
        {
            {"Account Code", Text.Trim, type text},
            {"Account Name", Text.Trim, type text},
            {"Department", Text.Trim, type text},
            {"Data Type", Text.Trim, type text},
            {"Source System", Text.Trim, type text},
            {"Import Batch", Text.Trim, type text}
        }
    ),
    FilteredRows = Table.SelectRows(CleanText, each [Account Code] &lt;&gt; null and [Account Code] &lt;&gt; ""),
    AddedRefreshTimestamp = Table.AddColumn(FilteredRows, "Refresh Timestamp", each DateTime.LocalNow(), type datetime)
in
    AddedRefreshTimestamp</x:v>
      </x:c>
      <x:c r="B20" s="399"/>
      <x:c r="C20" s="399"/>
      <x:c r="D20" s="399"/>
      <x:c r="E20" s="399"/>
      <x:c r="F20" s="399"/>
      <x:c r="G20" s="399"/>
    </x:row>
    <x:row r="21">
      <x:c r="A21" s="399"/>
      <x:c r="B21" s="399"/>
      <x:c r="C21" s="399"/>
      <x:c r="D21" s="399"/>
      <x:c r="E21" s="399"/>
      <x:c r="F21" s="399"/>
      <x:c r="G21" s="399"/>
    </x:row>
    <x:row r="22">
      <x:c r="A22" s="399"/>
      <x:c r="B22" s="399"/>
      <x:c r="C22" s="399"/>
      <x:c r="D22" s="399"/>
      <x:c r="E22" s="399"/>
      <x:c r="F22" s="399"/>
      <x:c r="G22" s="399"/>
    </x:row>
    <x:row r="23">
      <x:c r="A23" s="399"/>
      <x:c r="B23" s="399"/>
      <x:c r="C23" s="399"/>
      <x:c r="D23" s="399"/>
      <x:c r="E23" s="399"/>
      <x:c r="F23" s="399"/>
      <x:c r="G23" s="399"/>
    </x:row>
    <x:row r="24">
      <x:c r="A24" s="399"/>
      <x:c r="B24" s="399"/>
      <x:c r="C24" s="399"/>
      <x:c r="D24" s="399"/>
      <x:c r="E24" s="399"/>
      <x:c r="F24" s="399"/>
      <x:c r="G24" s="399"/>
    </x:row>
    <x:row r="25">
      <x:c r="A25" s="399"/>
      <x:c r="B25" s="399"/>
      <x:c r="C25" s="399"/>
      <x:c r="D25" s="399"/>
      <x:c r="E25" s="399"/>
      <x:c r="F25" s="399"/>
      <x:c r="G25" s="399"/>
    </x:row>
    <x:row r="26">
      <x:c r="A26" s="399"/>
      <x:c r="B26" s="399"/>
      <x:c r="C26" s="399"/>
      <x:c r="D26" s="399"/>
      <x:c r="E26" s="399"/>
      <x:c r="F26" s="399"/>
      <x:c r="G26" s="399"/>
    </x:row>
    <x:row r="27">
      <x:c r="A27" s="399"/>
      <x:c r="B27" s="399"/>
      <x:c r="C27" s="399"/>
      <x:c r="D27" s="399"/>
      <x:c r="E27" s="399"/>
      <x:c r="F27" s="399"/>
      <x:c r="G27" s="399"/>
    </x:row>
    <x:row r="28">
      <x:c r="A28" s="399"/>
      <x:c r="B28" s="399"/>
      <x:c r="C28" s="399"/>
      <x:c r="D28" s="399"/>
      <x:c r="E28" s="399"/>
      <x:c r="F28" s="399"/>
      <x:c r="G28" s="399"/>
    </x:row>
    <x:row r="29">
      <x:c r="A29" s="399"/>
      <x:c r="B29" s="399"/>
      <x:c r="C29" s="399"/>
      <x:c r="D29" s="399"/>
      <x:c r="E29" s="399"/>
      <x:c r="F29" s="399"/>
      <x:c r="G29" s="399"/>
    </x:row>
    <x:row r="30">
      <x:c r="A30" s="399"/>
      <x:c r="B30" s="399"/>
      <x:c r="C30" s="399"/>
      <x:c r="D30" s="399"/>
      <x:c r="E30" s="399"/>
      <x:c r="F30" s="399"/>
      <x:c r="G30" s="399"/>
    </x:row>
    <x:row r="31">
      <x:c r="A31" s="399"/>
      <x:c r="B31" s="399"/>
      <x:c r="C31" s="399"/>
      <x:c r="D31" s="399"/>
      <x:c r="E31" s="399"/>
      <x:c r="F31" s="399"/>
      <x:c r="G31" s="399"/>
    </x:row>
    <x:row r="32">
      <x:c r="A32" s="399"/>
      <x:c r="B32" s="399"/>
      <x:c r="C32" s="399"/>
      <x:c r="D32" s="399"/>
      <x:c r="E32" s="399"/>
      <x:c r="F32" s="399"/>
      <x:c r="G32" s="399"/>
    </x:row>
    <x:row r="33">
      <x:c r="A33" s="399"/>
      <x:c r="B33" s="399"/>
      <x:c r="C33" s="399"/>
      <x:c r="D33" s="399"/>
      <x:c r="E33" s="399"/>
      <x:c r="F33" s="399"/>
      <x:c r="G33" s="399"/>
    </x:row>
    <x:row r="34">
      <x:c r="A34" s="399"/>
      <x:c r="B34" s="399"/>
      <x:c r="C34" s="399"/>
      <x:c r="D34" s="399"/>
      <x:c r="E34" s="399"/>
      <x:c r="F34" s="399"/>
      <x:c r="G34" s="399"/>
    </x:row>
    <x:row r="35">
      <x:c r="A35" s="399"/>
      <x:c r="B35" s="399"/>
      <x:c r="C35" s="399"/>
      <x:c r="D35" s="399"/>
      <x:c r="E35" s="399"/>
      <x:c r="F35" s="399"/>
      <x:c r="G35" s="399"/>
    </x:row>
    <x:row r="36">
      <x:c r="A36" s="399"/>
      <x:c r="B36" s="399"/>
      <x:c r="C36" s="399"/>
      <x:c r="D36" s="399"/>
      <x:c r="E36" s="399"/>
      <x:c r="F36" s="399"/>
      <x:c r="G36" s="399"/>
    </x:row>
    <x:row r="37">
      <x:c r="A37" s="399"/>
      <x:c r="B37" s="399"/>
      <x:c r="C37" s="399"/>
      <x:c r="D37" s="399"/>
      <x:c r="E37" s="399"/>
      <x:c r="F37" s="399"/>
      <x:c r="G37" s="399"/>
    </x:row>
    <x:row r="38">
      <x:c r="A38" s="399"/>
      <x:c r="B38" s="399"/>
      <x:c r="C38" s="399"/>
      <x:c r="D38" s="399"/>
      <x:c r="E38" s="399"/>
      <x:c r="F38" s="399"/>
      <x:c r="G38" s="399"/>
    </x:row>
    <x:row r="39">
      <x:c r="A39" s="399"/>
      <x:c r="B39" s="399"/>
      <x:c r="C39" s="399"/>
      <x:c r="D39" s="399"/>
      <x:c r="E39" s="399"/>
      <x:c r="F39" s="399"/>
      <x:c r="G39" s="399"/>
    </x:row>
    <x:row r="40">
      <x:c r="A40" s="399"/>
      <x:c r="B40" s="399"/>
      <x:c r="C40" s="399"/>
      <x:c r="D40" s="399"/>
      <x:c r="E40" s="399"/>
      <x:c r="F40" s="399"/>
      <x:c r="G40" s="399"/>
    </x:row>
    <x:row r="41">
      <x:c r="A41" s="399"/>
      <x:c r="B41" s="399"/>
      <x:c r="C41" s="399"/>
      <x:c r="D41" s="399"/>
      <x:c r="E41" s="399"/>
      <x:c r="F41" s="399"/>
      <x:c r="G41" s="399"/>
    </x:row>
    <x:row r="42">
      <x:c r="A42" s="399"/>
      <x:c r="B42" s="399"/>
      <x:c r="C42" s="399"/>
      <x:c r="D42" s="399"/>
      <x:c r="E42" s="399"/>
      <x:c r="F42" s="399"/>
      <x:c r="G42" s="399"/>
    </x:row>
    <x:row r="43">
      <x:c r="A43" s="399"/>
      <x:c r="B43" s="399"/>
      <x:c r="C43" s="399"/>
      <x:c r="D43" s="399"/>
      <x:c r="E43" s="399"/>
      <x:c r="F43" s="399"/>
      <x:c r="G43" s="399"/>
    </x:row>
    <x:row r="44">
      <x:c r="A44" s="415"/>
      <x:c r="B44" s="415"/>
      <x:c r="C44" s="415"/>
      <x:c r="D44" s="415"/>
      <x:c r="E44" s="415"/>
      <x:c r="F44" s="415"/>
      <x:c r="G44" s="415"/>
    </x:row>
    <x:row r="45">
      <x:c r="A45" s="416"/>
      <x:c r="B45" s="399"/>
      <x:c r="C45" s="399"/>
      <x:c r="D45" s="399"/>
      <x:c r="E45" s="399"/>
      <x:c r="F45" s="399"/>
      <x:c r="G45" s="399"/>
    </x:row>
    <x:row r="46">
      <x:c r="A46" s="416"/>
      <x:c r="B46" s="399"/>
      <x:c r="C46" s="399"/>
      <x:c r="D46" s="399"/>
      <x:c r="E46" s="399"/>
      <x:c r="F46" s="399"/>
      <x:c r="G46" s="399"/>
    </x:row>
    <x:row r="47">
      <x:c r="A47" s="416"/>
      <x:c r="B47" s="399"/>
      <x:c r="C47" s="399"/>
      <x:c r="D47" s="399"/>
      <x:c r="E47" s="399"/>
      <x:c r="F47" s="399"/>
      <x:c r="G47" s="399"/>
    </x:row>
    <x:row r="48">
      <x:c r="A48" s="416"/>
      <x:c r="B48" s="399"/>
      <x:c r="C48" s="399"/>
      <x:c r="D48" s="399"/>
      <x:c r="E48" s="399"/>
      <x:c r="F48" s="399"/>
      <x:c r="G48" s="399"/>
    </x:row>
    <x:row r="49">
      <x:c r="A49" s="416"/>
      <x:c r="B49" s="399"/>
      <x:c r="C49" s="399"/>
      <x:c r="D49" s="399"/>
      <x:c r="E49" s="399"/>
      <x:c r="F49" s="399"/>
      <x:c r="G49" s="399"/>
    </x:row>
    <x:row r="50">
      <x:c r="A50" s="416"/>
      <x:c r="B50" s="399"/>
      <x:c r="C50" s="399"/>
      <x:c r="D50" s="399"/>
      <x:c r="E50" s="399"/>
      <x:c r="F50" s="399"/>
      <x:c r="G50" s="399"/>
    </x:row>
    <x:row r="51">
      <x:c r="A51" s="399"/>
      <x:c r="B51" s="399"/>
      <x:c r="C51" s="399"/>
      <x:c r="D51" s="399"/>
      <x:c r="E51" s="399"/>
      <x:c r="F51" s="399"/>
      <x:c r="G51" s="399"/>
    </x:row>
    <x:row r="52">
      <x:c r="A52" s="399"/>
      <x:c r="B52" s="399"/>
      <x:c r="C52" s="399"/>
      <x:c r="D52" s="399"/>
      <x:c r="E52" s="399"/>
      <x:c r="F52" s="399"/>
      <x:c r="G52" s="399"/>
    </x:row>
    <x:row r="53">
      <x:c r="A53" s="399"/>
      <x:c r="B53" s="399"/>
      <x:c r="C53" s="399"/>
      <x:c r="D53" s="399"/>
      <x:c r="E53" s="399"/>
      <x:c r="F53" s="399"/>
      <x:c r="G53" s="399"/>
    </x:row>
    <x:row r="54">
      <x:c r="A54" s="399"/>
      <x:c r="B54" s="399"/>
      <x:c r="C54" s="399"/>
      <x:c r="D54" s="399"/>
      <x:c r="E54" s="399"/>
      <x:c r="F54" s="399"/>
      <x:c r="G54" s="399"/>
    </x:row>
    <x:row r="56">
      <x:c r="A56" s="381" t="str">
        <x:v>Monthly Close Workflow</x:v>
      </x:c>
      <x:c r="B56" s="381"/>
      <x:c r="C56" s="381"/>
      <x:c r="D56" s="381"/>
      <x:c r="E56" s="381"/>
      <x:c r="F56" s="381"/>
      <x:c r="G56" s="381"/>
    </x:row>
    <x:row r="57">
      <x:c r="A57" s="395" t="str">
        <x:v>1</x:v>
      </x:c>
      <x:c r="B57" s="12" t="str">
        <x:v>Export current-period GL/ERP actuals using the same eight source columns.</x:v>
      </x:c>
    </x:row>
    <x:row r="58" ht="26" customHeight="1">
      <x:c r="A58" s="395" t="str">
        <x:v>2</x:v>
      </x:c>
      <x:c r="B58" s="12" t="str">
        <x:v>Overwrite the prior CSV at the SourcePath; do not change the filename.</x:v>
      </x:c>
    </x:row>
    <x:row r="59" ht="26" customHeight="1">
      <x:c r="A59" s="395" t="str">
        <x:v>3</x:v>
      </x:c>
      <x:c r="B59" s="12" t="str">
        <x:v>Open v1.5.1 and choose Data → Refresh All.</x:v>
      </x:c>
    </x:row>
    <x:row r="60" ht="26" customHeight="1">
      <x:c r="A60" s="395" t="str">
        <x:v>4</x:v>
      </x:c>
      <x:c r="B60" s="12" t="str">
        <x:v>Confirm Query Feed and Model Import both show READY and Unmapped Rows = 0.</x:v>
      </x:c>
    </x:row>
    <x:row r="61" ht="26" customHeight="1">
      <x:c r="A61" s="395" t="str">
        <x:v>5</x:v>
      </x:c>
      <x:c r="B61" s="12" t="str">
        <x:v>Advance Planning_Assumptions!Close Through to the newly closed month.</x:v>
      </x:c>
    </x:row>
    <x:row r="62" ht="26" customHeight="1">
      <x:c r="A62" s="395" t="str">
        <x:v>6</x:v>
      </x:c>
      <x:c r="B62" s="12" t="str">
        <x:v>Review BvA exceptions, rolling forecast, dashboards, and the updated AI commentary prompt.</x:v>
      </x:c>
    </x:row>
    <x:row r="63" ht="26" customHeight="1"/>
  </x:sheetData>
  <x:mergeCells>
    <x:mergeCell ref="A1:G1"/>
    <x:mergeCell ref="A2:G2"/>
    <x:mergeCell ref="A4:D4"/>
    <x:mergeCell ref="E4:G4"/>
    <x:mergeCell ref="A10:D10"/>
    <x:mergeCell ref="A19:G19"/>
    <x:mergeCell ref="A44:G44"/>
    <x:mergeCell ref="A20:G54"/>
    <x:mergeCell ref="A56:G56"/>
  </x:mergeCells>
  <x:conditionalFormatting sqref="F11:F11">
    <x:cfRule type="expression" dxfId="24" priority="1">
      <x:formula>F11="READY"</x:formula>
    </x:cfRule>
    <x:cfRule type="expression" dxfId="25" priority="2">
      <x:formula>OR(F11="NO DATA",F11="REVIEW MAPPING",F11="REVIEW REFRESH")</x:formula>
    </x:cfRule>
  </x:conditionalFormatting>
  <x:conditionalFormatting sqref="F12:F12">
    <x:cfRule type="expression" dxfId="26" priority="3">
      <x:formula>F12="READY"</x:formula>
    </x:cfRule>
    <x:cfRule type="expression" dxfId="27" priority="4">
      <x:formula>OR(F12="NO DATA",F12="REVIEW MAPPING",F12="REVIEW REFRESH")</x:formula>
    </x:cfRule>
  </x:conditionalFormatting>
  <x:conditionalFormatting sqref="F8:F8">
    <x:cfRule type="expression" dxfId="42" priority="5">
      <x:formula>F8=0</x:formula>
    </x:cfRule>
    <x:cfRule type="expression" dxfId="43" priority="6">
      <x:formula>F8&gt;=1</x:formula>
    </x:cfRule>
  </x:conditionalFormatting>
  <x:conditionalFormatting sqref="F11:F12">
    <x:cfRule type="expression" dxfId="44" priority="7">
      <x:formula>F11="READY"</x:formula>
    </x:cfRule>
    <x:cfRule type="expression" dxfId="45" priority="8">
      <x:formula>AND(F11&lt;&gt;"",F11&lt;&gt;"READY")</x:formula>
    </x:cfRule>
  </x:conditionalFormatting>
  <x:pageMargins left="0.7" right="0.7" top="0.75" bottom="0.75" header="0.3" footer="0.3"/>
  <x:tableParts count="1">
    <x:tablePart xmlns:r="http://schemas.openxmlformats.org/officeDocument/2006/relationships" r:id="Refe147a334574d53"/>
  </x:tableParts>
</x:worksheet>
</file>

<file path=xl/worksheets/sheet21.xml><?xml version="1.0" encoding="utf-8"?>
<x:worksheet xmlns:x="http://schemas.openxmlformats.org/spreadsheetml/2006/main">
  <x:sheetFormatPr defaultRowHeight="15"/>
  <x:cols>
    <x:col min="1" max="1" width="13" hidden="0" customWidth="1"/>
    <x:col min="2" max="2" width="13" hidden="0" customWidth="1"/>
    <x:col min="3" max="3" width="29" hidden="0" customWidth="1"/>
    <x:col min="4" max="4" width="22" hidden="0" customWidth="1"/>
    <x:col min="5" max="5" width="17" hidden="0" customWidth="1"/>
    <x:col min="6" max="6" width="18" hidden="0" customWidth="1"/>
    <x:col min="7" max="7" width="22" hidden="0" customWidth="1"/>
    <x:col min="8" max="8" width="18" hidden="0" customWidth="1"/>
    <x:col min="9" max="9" width="22" hidden="0" customWidth="1"/>
    <x:col min="10" max="10" width="16" hidden="0" customWidth="1"/>
  </x:cols>
  <x:sheetData>
    <x:row r="1" ht="28" customHeight="1">
      <x:c r="A1" s="377" t="str">
        <x:v>Synthetic SaaS Company | Power Query Actuals Landing Zone</x:v>
      </x:c>
      <x:c r="B1" s="377"/>
      <x:c r="C1" s="377"/>
      <x:c r="D1" s="377"/>
      <x:c r="E1" s="377"/>
      <x:c r="F1" s="377"/>
      <x:c r="G1" s="377"/>
      <x:c r="H1" s="377"/>
      <x:c r="I1" s="377"/>
      <x:c r="J1" s="377"/>
    </x:row>
    <x:row r="2" ht="34" customHeight="1">
      <x:c r="A2" s="180" t="str">
        <x:v>Columns A:I are the Power Query load target. Column J is the model mapping control and should not be included in the query. Demo data is preloaded so the workbook remains functional before the one-time Excel setup.</x:v>
      </x:c>
      <x:c r="B2" s="180"/>
      <x:c r="C2" s="180"/>
      <x:c r="D2" s="180"/>
      <x:c r="E2" s="180"/>
      <x:c r="F2" s="180"/>
      <x:c r="G2" s="180"/>
      <x:c r="H2" s="180"/>
      <x:c r="I2" s="180"/>
      <x:c r="J2" s="180"/>
    </x:row>
    <x:row r="4">
      <x:c r="A4" s="381" t="str">
        <x:v>Power Query Output — do not manually edit after connection is established</x:v>
      </x:c>
      <x:c r="B4" s="381"/>
      <x:c r="C4" s="381"/>
      <x:c r="D4" s="381"/>
      <x:c r="E4" s="381"/>
      <x:c r="F4" s="381"/>
      <x:c r="G4" s="381"/>
      <x:c r="H4" s="381"/>
      <x:c r="I4" s="381"/>
      <x:c r="J4" s="381" t="str">
        <x:v>Automation</x:v>
      </x:c>
    </x:row>
    <x:row r="5">
      <x:c r="A5" s="386" t="str">
        <x:v>Period End</x:v>
      </x:c>
      <x:c r="B5" s="386" t="str">
        <x:v>Account Code</x:v>
      </x:c>
      <x:c r="C5" s="386" t="str">
        <x:v>Account Name</x:v>
      </x:c>
      <x:c r="D5" s="386" t="str">
        <x:v>Department</x:v>
      </x:c>
      <x:c r="E5" s="386" t="str">
        <x:v>Data Type</x:v>
      </x:c>
      <x:c r="F5" s="386" t="str">
        <x:v>Source Amount ($mm)</x:v>
      </x:c>
      <x:c r="G5" s="386" t="str">
        <x:v>Source System</x:v>
      </x:c>
      <x:c r="H5" s="386" t="str">
        <x:v>Import Batch</x:v>
      </x:c>
      <x:c r="I5" s="386" t="str">
        <x:v>Refresh Timestamp</x:v>
      </x:c>
      <x:c r="J5" s="386" t="str">
        <x:v>Mapping Status</x:v>
      </x:c>
    </x:row>
    <x:row r="6">
      <x:c r="A6" s="290" t="n">
        <x:v>46053</x:v>
      </x:c>
      <x:c r="B6" t="str">
        <x:v>1000</x:v>
      </x:c>
      <x:c r="C6" t="str">
        <x:v>Cash &amp; Cash Equivalents</x:v>
      </x:c>
      <x:c r="D6" t="str">
        <x:v>Corporate</x:v>
      </x:c>
      <x:c r="E6" t="str">
        <x:v>BS Snapshot</x:v>
      </x:c>
      <x:c r="F6" s="400" t="n">
        <x:v>3.404167</x:v>
      </x:c>
      <x:c r="G6" t="str">
        <x:v>Synthetic ERP Export</x:v>
      </x:c>
      <x:c r="H6" t="str">
        <x:v>FY2026_DEMO</x:v>
      </x:c>
      <x:c r="I6" s="392" t="n">
        <x:v>46259.42291666667</x:v>
      </x:c>
      <x:c r="J6" t="str">
        <x:f>IF($B6="","",IF(COUNTIF(Account_Map!$A$6:$A$31,$B6)&gt;0,"Mapped","UNMAPPED"))</x:f>
        <x:v>Mapped</x:v>
      </x:c>
    </x:row>
    <x:row r="7">
      <x:c r="A7" s="290" t="n">
        <x:v>46053</x:v>
      </x:c>
      <x:c r="B7" t="str">
        <x:v>1100</x:v>
      </x:c>
      <x:c r="C7" t="str">
        <x:v>Accounts Receivable</x:v>
      </x:c>
      <x:c r="D7" t="str">
        <x:v>Corporate</x:v>
      </x:c>
      <x:c r="E7" t="str">
        <x:v>BS Snapshot</x:v>
      </x:c>
      <x:c r="F7" s="400" t="n">
        <x:v>2.130479</x:v>
      </x:c>
      <x:c r="G7" t="str">
        <x:v>Synthetic ERP Export</x:v>
      </x:c>
      <x:c r="H7" t="str">
        <x:v>FY2026_DEMO</x:v>
      </x:c>
      <x:c r="I7" s="392" t="n">
        <x:v>46259.42291666667</x:v>
      </x:c>
      <x:c r="J7" t="str">
        <x:f>IF($B7="","",IF(COUNTIF(Account_Map!$A$6:$A$31,$B7)&gt;0,"Mapped","UNMAPPED"))</x:f>
        <x:v>Mapped</x:v>
      </x:c>
    </x:row>
    <x:row r="8">
      <x:c r="A8" s="290" t="n">
        <x:v>46053</x:v>
      </x:c>
      <x:c r="B8" t="str">
        <x:v>1200</x:v>
      </x:c>
      <x:c r="C8" t="str">
        <x:v>Other Current Assets</x:v>
      </x:c>
      <x:c r="D8" t="str">
        <x:v>Corporate</x:v>
      </x:c>
      <x:c r="E8" t="str">
        <x:v>BS Snapshot</x:v>
      </x:c>
      <x:c r="F8" s="400" t="n">
        <x:v>0.49</x:v>
      </x:c>
      <x:c r="G8" t="str">
        <x:v>Synthetic ERP Export</x:v>
      </x:c>
      <x:c r="H8" t="str">
        <x:v>FY2026_DEMO</x:v>
      </x:c>
      <x:c r="I8" s="392" t="n">
        <x:v>46259.42291666667</x:v>
      </x:c>
      <x:c r="J8" t="str">
        <x:f>IF($B8="","",IF(COUNTIF(Account_Map!$A$6:$A$31,$B8)&gt;0,"Mapped","UNMAPPED"))</x:f>
        <x:v>Mapped</x:v>
      </x:c>
    </x:row>
    <x:row r="9">
      <x:c r="A9" s="290" t="n">
        <x:v>46053</x:v>
      </x:c>
      <x:c r="B9" t="str">
        <x:v>1500</x:v>
      </x:c>
      <x:c r="C9" t="str">
        <x:v>PP&amp;E, Net</x:v>
      </x:c>
      <x:c r="D9" t="str">
        <x:v>Corporate</x:v>
      </x:c>
      <x:c r="E9" t="str">
        <x:v>BS Snapshot</x:v>
      </x:c>
      <x:c r="F9" s="400" t="n">
        <x:v>1.770833</x:v>
      </x:c>
      <x:c r="G9" t="str">
        <x:v>Synthetic ERP Export</x:v>
      </x:c>
      <x:c r="H9" t="str">
        <x:v>FY2026_DEMO</x:v>
      </x:c>
      <x:c r="I9" s="392" t="n">
        <x:v>46259.42291666667</x:v>
      </x:c>
      <x:c r="J9" t="str">
        <x:f>IF($B9="","",IF(COUNTIF(Account_Map!$A$6:$A$31,$B9)&gt;0,"Mapped","UNMAPPED"))</x:f>
        <x:v>Mapped</x:v>
      </x:c>
    </x:row>
    <x:row r="10">
      <x:c r="A10" s="290" t="n">
        <x:v>46053</x:v>
      </x:c>
      <x:c r="B10" t="str">
        <x:v>2000</x:v>
      </x:c>
      <x:c r="C10" t="str">
        <x:v>Accounts Payable</x:v>
      </x:c>
      <x:c r="D10" t="str">
        <x:v>Corporate</x:v>
      </x:c>
      <x:c r="E10" t="str">
        <x:v>BS Snapshot</x:v>
      </x:c>
      <x:c r="F10" s="400" t="n">
        <x:v>-0.345913</x:v>
      </x:c>
      <x:c r="G10" t="str">
        <x:v>Synthetic ERP Export</x:v>
      </x:c>
      <x:c r="H10" t="str">
        <x:v>FY2026_DEMO</x:v>
      </x:c>
      <x:c r="I10" s="392" t="n">
        <x:v>46259.42291666667</x:v>
      </x:c>
      <x:c r="J10" t="str">
        <x:f>IF($B10="","",IF(COUNTIF(Account_Map!$A$6:$A$31,$B10)&gt;0,"Mapped","UNMAPPED"))</x:f>
        <x:v>Mapped</x:v>
      </x:c>
    </x:row>
    <x:row r="11">
      <x:c r="A11" s="290" t="n">
        <x:v>46053</x:v>
      </x:c>
      <x:c r="B11" t="str">
        <x:v>2100</x:v>
      </x:c>
      <x:c r="C11" t="str">
        <x:v>Accrued Expenses</x:v>
      </x:c>
      <x:c r="D11" t="str">
        <x:v>Corporate</x:v>
      </x:c>
      <x:c r="E11" t="str">
        <x:v>BS Snapshot</x:v>
      </x:c>
      <x:c r="F11" s="400" t="n">
        <x:v>-0.8815</x:v>
      </x:c>
      <x:c r="G11" t="str">
        <x:v>Synthetic ERP Export</x:v>
      </x:c>
      <x:c r="H11" t="str">
        <x:v>FY2026_DEMO</x:v>
      </x:c>
      <x:c r="I11" s="392" t="n">
        <x:v>46259.42291666667</x:v>
      </x:c>
      <x:c r="J11" t="str">
        <x:f>IF($B11="","",IF(COUNTIF(Account_Map!$A$6:$A$31,$B11)&gt;0,"Mapped","UNMAPPED"))</x:f>
        <x:v>Mapped</x:v>
      </x:c>
    </x:row>
    <x:row r="12">
      <x:c r="A12" s="290" t="n">
        <x:v>46053</x:v>
      </x:c>
      <x:c r="B12" t="str">
        <x:v>2200</x:v>
      </x:c>
      <x:c r="C12" t="str">
        <x:v>Deferred Revenue</x:v>
      </x:c>
      <x:c r="D12" t="str">
        <x:v>Corporate</x:v>
      </x:c>
      <x:c r="E12" t="str">
        <x:v>BS Snapshot</x:v>
      </x:c>
      <x:c r="F12" s="400" t="n">
        <x:v>-1.725</x:v>
      </x:c>
      <x:c r="G12" t="str">
        <x:v>Synthetic ERP Export</x:v>
      </x:c>
      <x:c r="H12" t="str">
        <x:v>FY2026_DEMO</x:v>
      </x:c>
      <x:c r="I12" s="392" t="n">
        <x:v>46259.42291666667</x:v>
      </x:c>
      <x:c r="J12" t="str">
        <x:f>IF($B12="","",IF(COUNTIF(Account_Map!$A$6:$A$31,$B12)&gt;0,"Mapped","UNMAPPED"))</x:f>
        <x:v>Mapped</x:v>
      </x:c>
    </x:row>
    <x:row r="13">
      <x:c r="A13" s="290" t="n">
        <x:v>46053</x:v>
      </x:c>
      <x:c r="B13" t="str">
        <x:v>2500</x:v>
      </x:c>
      <x:c r="C13" t="str">
        <x:v>Debt</x:v>
      </x:c>
      <x:c r="D13" t="str">
        <x:v>Corporate</x:v>
      </x:c>
      <x:c r="E13" t="str">
        <x:v>BS Snapshot</x:v>
      </x:c>
      <x:c r="F13" s="400" t="n">
        <x:v>-2.866667</x:v>
      </x:c>
      <x:c r="G13" t="str">
        <x:v>Synthetic ERP Export</x:v>
      </x:c>
      <x:c r="H13" t="str">
        <x:v>FY2026_DEMO</x:v>
      </x:c>
      <x:c r="I13" s="392" t="n">
        <x:v>46259.42291666667</x:v>
      </x:c>
      <x:c r="J13" t="str">
        <x:f>IF($B13="","",IF(COUNTIF(Account_Map!$A$6:$A$31,$B13)&gt;0,"Mapped","UNMAPPED"))</x:f>
        <x:v>Mapped</x:v>
      </x:c>
    </x:row>
    <x:row r="14">
      <x:c r="A14" s="290" t="n">
        <x:v>46053</x:v>
      </x:c>
      <x:c r="B14" t="str">
        <x:v>3000</x:v>
      </x:c>
      <x:c r="C14" t="str">
        <x:v>Equity</x:v>
      </x:c>
      <x:c r="D14" t="str">
        <x:v>Corporate</x:v>
      </x:c>
      <x:c r="E14" t="str">
        <x:v>BS Snapshot</x:v>
      </x:c>
      <x:c r="F14" s="400" t="n">
        <x:v>-2.095566</x:v>
      </x:c>
      <x:c r="G14" t="str">
        <x:v>Synthetic ERP Export</x:v>
      </x:c>
      <x:c r="H14" t="str">
        <x:v>FY2026_DEMO</x:v>
      </x:c>
      <x:c r="I14" s="392" t="n">
        <x:v>46259.42291666667</x:v>
      </x:c>
      <x:c r="J14" t="str">
        <x:f>IF($B14="","",IF(COUNTIF(Account_Map!$A$6:$A$31,$B14)&gt;0,"Mapped","UNMAPPED"))</x:f>
        <x:v>Mapped</x:v>
      </x:c>
    </x:row>
    <x:row r="15">
      <x:c r="A15" s="290" t="n">
        <x:v>46053</x:v>
      </x:c>
      <x:c r="B15" t="str">
        <x:v>4000</x:v>
      </x:c>
      <x:c r="C15" t="str">
        <x:v>Subscription Revenue</x:v>
      </x:c>
      <x:c r="D15" t="str">
        <x:v>Sales</x:v>
      </x:c>
      <x:c r="E15" t="str">
        <x:v>P&amp;L Activity</x:v>
      </x:c>
      <x:c r="F15" s="400" t="n">
        <x:v>-1.42</x:v>
      </x:c>
      <x:c r="G15" t="str">
        <x:v>Synthetic ERP Export</x:v>
      </x:c>
      <x:c r="H15" t="str">
        <x:v>FY2026_DEMO</x:v>
      </x:c>
      <x:c r="I15" s="392" t="n">
        <x:v>46259.42291666667</x:v>
      </x:c>
      <x:c r="J15" t="str">
        <x:f>IF($B15="","",IF(COUNTIF(Account_Map!$A$6:$A$31,$B15)&gt;0,"Mapped","UNMAPPED"))</x:f>
        <x:v>Mapped</x:v>
      </x:c>
    </x:row>
    <x:row r="16">
      <x:c r="A16" s="290" t="n">
        <x:v>46053</x:v>
      </x:c>
      <x:c r="B16" t="str">
        <x:v>5000</x:v>
      </x:c>
      <x:c r="C16" t="str">
        <x:v>Hosting &amp; Service Delivery</x:v>
      </x:c>
      <x:c r="D16" t="str">
        <x:v>Operations</x:v>
      </x:c>
      <x:c r="E16" t="str">
        <x:v>P&amp;L Activity</x:v>
      </x:c>
      <x:c r="F16" s="400" t="n">
        <x:v>0.355</x:v>
      </x:c>
      <x:c r="G16" t="str">
        <x:v>Synthetic ERP Export</x:v>
      </x:c>
      <x:c r="H16" t="str">
        <x:v>FY2026_DEMO</x:v>
      </x:c>
      <x:c r="I16" s="392" t="n">
        <x:v>46259.42291666667</x:v>
      </x:c>
      <x:c r="J16" t="str">
        <x:f>IF($B16="","",IF(COUNTIF(Account_Map!$A$6:$A$31,$B16)&gt;0,"Mapped","UNMAPPED"))</x:f>
        <x:v>Mapped</x:v>
      </x:c>
    </x:row>
    <x:row r="17">
      <x:c r="A17" s="290" t="n">
        <x:v>46053</x:v>
      </x:c>
      <x:c r="B17" t="str">
        <x:v>6100</x:v>
      </x:c>
      <x:c r="C17" t="str">
        <x:v>Sales &amp; Marketing</x:v>
      </x:c>
      <x:c r="D17" t="str">
        <x:v>Sales &amp; Marketing</x:v>
      </x:c>
      <x:c r="E17" t="str">
        <x:v>P&amp;L Activity</x:v>
      </x:c>
      <x:c r="F17" s="400" t="n">
        <x:v>0.426</x:v>
      </x:c>
      <x:c r="G17" t="str">
        <x:v>Synthetic ERP Export</x:v>
      </x:c>
      <x:c r="H17" t="str">
        <x:v>FY2026_DEMO</x:v>
      </x:c>
      <x:c r="I17" s="392" t="n">
        <x:v>46259.42291666667</x:v>
      </x:c>
      <x:c r="J17" t="str">
        <x:f>IF($B17="","",IF(COUNTIF(Account_Map!$A$6:$A$31,$B17)&gt;0,"Mapped","UNMAPPED"))</x:f>
        <x:v>Mapped</x:v>
      </x:c>
    </x:row>
    <x:row r="18">
      <x:c r="A18" s="290" t="n">
        <x:v>46053</x:v>
      </x:c>
      <x:c r="B18" t="str">
        <x:v>6200</x:v>
      </x:c>
      <x:c r="C18" t="str">
        <x:v>Research &amp; Development</x:v>
      </x:c>
      <x:c r="D18" t="str">
        <x:v>Product &amp; Engineering</x:v>
      </x:c>
      <x:c r="E18" t="str">
        <x:v>P&amp;L Activity</x:v>
      </x:c>
      <x:c r="F18" s="400" t="n">
        <x:v>0.2556</x:v>
      </x:c>
      <x:c r="G18" t="str">
        <x:v>Synthetic ERP Export</x:v>
      </x:c>
      <x:c r="H18" t="str">
        <x:v>FY2026_DEMO</x:v>
      </x:c>
      <x:c r="I18" s="392" t="n">
        <x:v>46259.42291666667</x:v>
      </x:c>
      <x:c r="J18" t="str">
        <x:f>IF($B18="","",IF(COUNTIF(Account_Map!$A$6:$A$31,$B18)&gt;0,"Mapped","UNMAPPED"))</x:f>
        <x:v>Mapped</x:v>
      </x:c>
    </x:row>
    <x:row r="19">
      <x:c r="A19" s="290" t="n">
        <x:v>46053</x:v>
      </x:c>
      <x:c r="B19" t="str">
        <x:v>6300</x:v>
      </x:c>
      <x:c r="C19" t="str">
        <x:v>General &amp; Administrative</x:v>
      </x:c>
      <x:c r="D19" t="str">
        <x:v>Corporate</x:v>
      </x:c>
      <x:c r="E19" t="str">
        <x:v>P&amp;L Activity</x:v>
      </x:c>
      <x:c r="F19" s="400" t="n">
        <x:v>0.213</x:v>
      </x:c>
      <x:c r="G19" t="str">
        <x:v>Synthetic ERP Export</x:v>
      </x:c>
      <x:c r="H19" t="str">
        <x:v>FY2026_DEMO</x:v>
      </x:c>
      <x:c r="I19" s="392" t="n">
        <x:v>46259.42291666667</x:v>
      </x:c>
      <x:c r="J19" t="str">
        <x:f>IF($B19="","",IF(COUNTIF(Account_Map!$A$6:$A$31,$B19)&gt;0,"Mapped","UNMAPPED"))</x:f>
        <x:v>Mapped</x:v>
      </x:c>
    </x:row>
    <x:row r="20">
      <x:c r="A20" s="290" t="n">
        <x:v>46053</x:v>
      </x:c>
      <x:c r="B20" t="str">
        <x:v>7000</x:v>
      </x:c>
      <x:c r="C20" t="str">
        <x:v>Depreciation &amp; Amortization</x:v>
      </x:c>
      <x:c r="D20" t="str">
        <x:v>Corporate</x:v>
      </x:c>
      <x:c r="E20" t="str">
        <x:v>P&amp;L Activity</x:v>
      </x:c>
      <x:c r="F20" s="400" t="n">
        <x:v>0.0284</x:v>
      </x:c>
      <x:c r="G20" t="str">
        <x:v>Synthetic ERP Export</x:v>
      </x:c>
      <x:c r="H20" t="str">
        <x:v>FY2026_DEMO</x:v>
      </x:c>
      <x:c r="I20" s="392" t="n">
        <x:v>46259.42291666667</x:v>
      </x:c>
      <x:c r="J20" t="str">
        <x:f>IF($B20="","",IF(COUNTIF(Account_Map!$A$6:$A$31,$B20)&gt;0,"Mapped","UNMAPPED"))</x:f>
        <x:v>Mapped</x:v>
      </x:c>
    </x:row>
    <x:row r="21">
      <x:c r="A21" s="290" t="n">
        <x:v>46053</x:v>
      </x:c>
      <x:c r="B21" t="str">
        <x:v>7100</x:v>
      </x:c>
      <x:c r="C21" t="str">
        <x:v>Interest Expense</x:v>
      </x:c>
      <x:c r="D21" t="str">
        <x:v>Corporate</x:v>
      </x:c>
      <x:c r="E21" t="str">
        <x:v>P&amp;L Activity</x:v>
      </x:c>
      <x:c r="F21" s="400" t="n">
        <x:v>0.0213</x:v>
      </x:c>
      <x:c r="G21" t="str">
        <x:v>Synthetic ERP Export</x:v>
      </x:c>
      <x:c r="H21" t="str">
        <x:v>FY2026_DEMO</x:v>
      </x:c>
      <x:c r="I21" s="392" t="n">
        <x:v>46259.42291666667</x:v>
      </x:c>
      <x:c r="J21" t="str">
        <x:f>IF($B21="","",IF(COUNTIF(Account_Map!$A$6:$A$31,$B21)&gt;0,"Mapped","UNMAPPED"))</x:f>
        <x:v>Mapped</x:v>
      </x:c>
    </x:row>
    <x:row r="22">
      <x:c r="A22" s="290" t="n">
        <x:v>46053</x:v>
      </x:c>
      <x:c r="B22" t="str">
        <x:v>7200</x:v>
      </x:c>
      <x:c r="C22" t="str">
        <x:v>Income Taxes</x:v>
      </x:c>
      <x:c r="D22" t="str">
        <x:v>Corporate</x:v>
      </x:c>
      <x:c r="E22" t="str">
        <x:v>P&amp;L Activity</x:v>
      </x:c>
      <x:c r="F22" s="400" t="n">
        <x:v>0.030175</x:v>
      </x:c>
      <x:c r="G22" t="str">
        <x:v>Synthetic ERP Export</x:v>
      </x:c>
      <x:c r="H22" t="str">
        <x:v>FY2026_DEMO</x:v>
      </x:c>
      <x:c r="I22" s="392" t="n">
        <x:v>46259.42291666667</x:v>
      </x:c>
      <x:c r="J22" t="str">
        <x:f>IF($B22="","",IF(COUNTIF(Account_Map!$A$6:$A$31,$B22)&gt;0,"Mapped","UNMAPPED"))</x:f>
        <x:v>Mapped</x:v>
      </x:c>
    </x:row>
    <x:row r="23">
      <x:c r="A23" s="290" t="n">
        <x:v>46081</x:v>
      </x:c>
      <x:c r="B23" t="str">
        <x:v>1000</x:v>
      </x:c>
      <x:c r="C23" t="str">
        <x:v>Cash &amp; Cash Equivalents</x:v>
      </x:c>
      <x:c r="D23" t="str">
        <x:v>Corporate</x:v>
      </x:c>
      <x:c r="E23" t="str">
        <x:v>BS Snapshot</x:v>
      </x:c>
      <x:c r="F23" s="400" t="n">
        <x:v>3.458333</x:v>
      </x:c>
      <x:c r="G23" t="str">
        <x:v>Synthetic ERP Export</x:v>
      </x:c>
      <x:c r="H23" t="str">
        <x:v>FY2026_DEMO</x:v>
      </x:c>
      <x:c r="I23" s="392" t="n">
        <x:v>46259.42291666667</x:v>
      </x:c>
      <x:c r="J23" t="str">
        <x:f>IF($B23="","",IF(COUNTIF(Account_Map!$A$6:$A$31,$B23)&gt;0,"Mapped","UNMAPPED"))</x:f>
        <x:v>Mapped</x:v>
      </x:c>
    </x:row>
    <x:row r="24">
      <x:c r="A24" s="290" t="n">
        <x:v>46081</x:v>
      </x:c>
      <x:c r="B24" t="str">
        <x:v>1100</x:v>
      </x:c>
      <x:c r="C24" t="str">
        <x:v>Accounts Receivable</x:v>
      </x:c>
      <x:c r="D24" t="str">
        <x:v>Corporate</x:v>
      </x:c>
      <x:c r="E24" t="str">
        <x:v>BS Snapshot</x:v>
      </x:c>
      <x:c r="F24" s="400" t="n">
        <x:v>2.160959</x:v>
      </x:c>
      <x:c r="G24" t="str">
        <x:v>Synthetic ERP Export</x:v>
      </x:c>
      <x:c r="H24" t="str">
        <x:v>FY2026_DEMO</x:v>
      </x:c>
      <x:c r="I24" s="392" t="n">
        <x:v>46259.42291666667</x:v>
      </x:c>
      <x:c r="J24" t="str">
        <x:f>IF($B24="","",IF(COUNTIF(Account_Map!$A$6:$A$31,$B24)&gt;0,"Mapped","UNMAPPED"))</x:f>
        <x:v>Mapped</x:v>
      </x:c>
    </x:row>
    <x:row r="25">
      <x:c r="A25" s="290" t="n">
        <x:v>46081</x:v>
      </x:c>
      <x:c r="B25" t="str">
        <x:v>1200</x:v>
      </x:c>
      <x:c r="C25" t="str">
        <x:v>Other Current Assets</x:v>
      </x:c>
      <x:c r="D25" t="str">
        <x:v>Corporate</x:v>
      </x:c>
      <x:c r="E25" t="str">
        <x:v>BS Snapshot</x:v>
      </x:c>
      <x:c r="F25" s="400" t="n">
        <x:v>0.5</x:v>
      </x:c>
      <x:c r="G25" t="str">
        <x:v>Synthetic ERP Export</x:v>
      </x:c>
      <x:c r="H25" t="str">
        <x:v>FY2026_DEMO</x:v>
      </x:c>
      <x:c r="I25" s="392" t="n">
        <x:v>46259.42291666667</x:v>
      </x:c>
      <x:c r="J25" t="str">
        <x:f>IF($B25="","",IF(COUNTIF(Account_Map!$A$6:$A$31,$B25)&gt;0,"Mapped","UNMAPPED"))</x:f>
        <x:v>Mapped</x:v>
      </x:c>
    </x:row>
    <x:row r="26">
      <x:c r="A26" s="290" t="n">
        <x:v>46081</x:v>
      </x:c>
      <x:c r="B26" t="str">
        <x:v>1500</x:v>
      </x:c>
      <x:c r="C26" t="str">
        <x:v>PP&amp;E, Net</x:v>
      </x:c>
      <x:c r="D26" t="str">
        <x:v>Corporate</x:v>
      </x:c>
      <x:c r="E26" t="str">
        <x:v>BS Snapshot</x:v>
      </x:c>
      <x:c r="F26" s="400" t="n">
        <x:v>1.791667</x:v>
      </x:c>
      <x:c r="G26" t="str">
        <x:v>Synthetic ERP Export</x:v>
      </x:c>
      <x:c r="H26" t="str">
        <x:v>FY2026_DEMO</x:v>
      </x:c>
      <x:c r="I26" s="392" t="n">
        <x:v>46259.42291666667</x:v>
      </x:c>
      <x:c r="J26" t="str">
        <x:f>IF($B26="","",IF(COUNTIF(Account_Map!$A$6:$A$31,$B26)&gt;0,"Mapped","UNMAPPED"))</x:f>
        <x:v>Mapped</x:v>
      </x:c>
    </x:row>
    <x:row r="27">
      <x:c r="A27" s="290" t="n">
        <x:v>46081</x:v>
      </x:c>
      <x:c r="B27" t="str">
        <x:v>2000</x:v>
      </x:c>
      <x:c r="C27" t="str">
        <x:v>Accounts Payable</x:v>
      </x:c>
      <x:c r="D27" t="str">
        <x:v>Corporate</x:v>
      </x:c>
      <x:c r="E27" t="str">
        <x:v>BS Snapshot</x:v>
      </x:c>
      <x:c r="F27" s="400" t="n">
        <x:v>-0.351826</x:v>
      </x:c>
      <x:c r="G27" t="str">
        <x:v>Synthetic ERP Export</x:v>
      </x:c>
      <x:c r="H27" t="str">
        <x:v>FY2026_DEMO</x:v>
      </x:c>
      <x:c r="I27" s="392" t="n">
        <x:v>46259.42291666667</x:v>
      </x:c>
      <x:c r="J27" t="str">
        <x:f>IF($B27="","",IF(COUNTIF(Account_Map!$A$6:$A$31,$B27)&gt;0,"Mapped","UNMAPPED"))</x:f>
        <x:v>Mapped</x:v>
      </x:c>
    </x:row>
    <x:row r="28">
      <x:c r="A28" s="290" t="n">
        <x:v>46081</x:v>
      </x:c>
      <x:c r="B28" t="str">
        <x:v>2100</x:v>
      </x:c>
      <x:c r="C28" t="str">
        <x:v>Accrued Expenses</x:v>
      </x:c>
      <x:c r="D28" t="str">
        <x:v>Corporate</x:v>
      </x:c>
      <x:c r="E28" t="str">
        <x:v>BS Snapshot</x:v>
      </x:c>
      <x:c r="F28" s="400" t="n">
        <x:v>-0.893</x:v>
      </x:c>
      <x:c r="G28" t="str">
        <x:v>Synthetic ERP Export</x:v>
      </x:c>
      <x:c r="H28" t="str">
        <x:v>FY2026_DEMO</x:v>
      </x:c>
      <x:c r="I28" s="392" t="n">
        <x:v>46259.42291666667</x:v>
      </x:c>
      <x:c r="J28" t="str">
        <x:f>IF($B28="","",IF(COUNTIF(Account_Map!$A$6:$A$31,$B28)&gt;0,"Mapped","UNMAPPED"))</x:f>
        <x:v>Mapped</x:v>
      </x:c>
    </x:row>
    <x:row r="29">
      <x:c r="A29" s="290" t="n">
        <x:v>46081</x:v>
      </x:c>
      <x:c r="B29" t="str">
        <x:v>2200</x:v>
      </x:c>
      <x:c r="C29" t="str">
        <x:v>Deferred Revenue</x:v>
      </x:c>
      <x:c r="D29" t="str">
        <x:v>Corporate</x:v>
      </x:c>
      <x:c r="E29" t="str">
        <x:v>BS Snapshot</x:v>
      </x:c>
      <x:c r="F29" s="400" t="n">
        <x:v>-1.75</x:v>
      </x:c>
      <x:c r="G29" t="str">
        <x:v>Synthetic ERP Export</x:v>
      </x:c>
      <x:c r="H29" t="str">
        <x:v>FY2026_DEMO</x:v>
      </x:c>
      <x:c r="I29" s="392" t="n">
        <x:v>46259.42291666667</x:v>
      </x:c>
      <x:c r="J29" t="str">
        <x:f>IF($B29="","",IF(COUNTIF(Account_Map!$A$6:$A$31,$B29)&gt;0,"Mapped","UNMAPPED"))</x:f>
        <x:v>Mapped</x:v>
      </x:c>
    </x:row>
    <x:row r="30">
      <x:c r="A30" s="290" t="n">
        <x:v>46081</x:v>
      </x:c>
      <x:c r="B30" t="str">
        <x:v>2500</x:v>
      </x:c>
      <x:c r="C30" t="str">
        <x:v>Debt</x:v>
      </x:c>
      <x:c r="D30" t="str">
        <x:v>Corporate</x:v>
      </x:c>
      <x:c r="E30" t="str">
        <x:v>BS Snapshot</x:v>
      </x:c>
      <x:c r="F30" s="400" t="n">
        <x:v>-2.833333</x:v>
      </x:c>
      <x:c r="G30" t="str">
        <x:v>Synthetic ERP Export</x:v>
      </x:c>
      <x:c r="H30" t="str">
        <x:v>FY2026_DEMO</x:v>
      </x:c>
      <x:c r="I30" s="392" t="n">
        <x:v>46259.42291666667</x:v>
      </x:c>
      <x:c r="J30" t="str">
        <x:f>IF($B30="","",IF(COUNTIF(Account_Map!$A$6:$A$31,$B30)&gt;0,"Mapped","UNMAPPED"))</x:f>
        <x:v>Mapped</x:v>
      </x:c>
    </x:row>
    <x:row r="31">
      <x:c r="A31" s="290" t="n">
        <x:v>46081</x:v>
      </x:c>
      <x:c r="B31" t="str">
        <x:v>3000</x:v>
      </x:c>
      <x:c r="C31" t="str">
        <x:v>Equity</x:v>
      </x:c>
      <x:c r="D31" t="str">
        <x:v>Corporate</x:v>
      </x:c>
      <x:c r="E31" t="str">
        <x:v>BS Snapshot</x:v>
      </x:c>
      <x:c r="F31" s="400" t="n">
        <x:v>-2.191132</x:v>
      </x:c>
      <x:c r="G31" t="str">
        <x:v>Synthetic ERP Export</x:v>
      </x:c>
      <x:c r="H31" t="str">
        <x:v>FY2026_DEMO</x:v>
      </x:c>
      <x:c r="I31" s="392" t="n">
        <x:v>46259.42291666667</x:v>
      </x:c>
      <x:c r="J31" t="str">
        <x:f>IF($B31="","",IF(COUNTIF(Account_Map!$A$6:$A$31,$B31)&gt;0,"Mapped","UNMAPPED"))</x:f>
        <x:v>Mapped</x:v>
      </x:c>
    </x:row>
    <x:row r="32">
      <x:c r="A32" s="290" t="n">
        <x:v>46081</x:v>
      </x:c>
      <x:c r="B32" t="str">
        <x:v>4000</x:v>
      </x:c>
      <x:c r="C32" t="str">
        <x:v>Subscription Revenue</x:v>
      </x:c>
      <x:c r="D32" t="str">
        <x:v>Sales</x:v>
      </x:c>
      <x:c r="E32" t="str">
        <x:v>P&amp;L Activity</x:v>
      </x:c>
      <x:c r="F32" s="400" t="n">
        <x:v>-1.46</x:v>
      </x:c>
      <x:c r="G32" t="str">
        <x:v>Synthetic ERP Export</x:v>
      </x:c>
      <x:c r="H32" t="str">
        <x:v>FY2026_DEMO</x:v>
      </x:c>
      <x:c r="I32" s="392" t="n">
        <x:v>46259.42291666667</x:v>
      </x:c>
      <x:c r="J32" t="str">
        <x:f>IF($B32="","",IF(COUNTIF(Account_Map!$A$6:$A$31,$B32)&gt;0,"Mapped","UNMAPPED"))</x:f>
        <x:v>Mapped</x:v>
      </x:c>
    </x:row>
    <x:row r="33">
      <x:c r="A33" s="290" t="n">
        <x:v>46081</x:v>
      </x:c>
      <x:c r="B33" t="str">
        <x:v>5000</x:v>
      </x:c>
      <x:c r="C33" t="str">
        <x:v>Hosting &amp; Service Delivery</x:v>
      </x:c>
      <x:c r="D33" t="str">
        <x:v>Operations</x:v>
      </x:c>
      <x:c r="E33" t="str">
        <x:v>P&amp;L Activity</x:v>
      </x:c>
      <x:c r="F33" s="400" t="n">
        <x:v>0.365</x:v>
      </x:c>
      <x:c r="G33" t="str">
        <x:v>Synthetic ERP Export</x:v>
      </x:c>
      <x:c r="H33" t="str">
        <x:v>FY2026_DEMO</x:v>
      </x:c>
      <x:c r="I33" s="392" t="n">
        <x:v>46259.42291666667</x:v>
      </x:c>
      <x:c r="J33" t="str">
        <x:f>IF($B33="","",IF(COUNTIF(Account_Map!$A$6:$A$31,$B33)&gt;0,"Mapped","UNMAPPED"))</x:f>
        <x:v>Mapped</x:v>
      </x:c>
    </x:row>
    <x:row r="34">
      <x:c r="A34" s="290" t="n">
        <x:v>46081</x:v>
      </x:c>
      <x:c r="B34" t="str">
        <x:v>6100</x:v>
      </x:c>
      <x:c r="C34" t="str">
        <x:v>Sales &amp; Marketing</x:v>
      </x:c>
      <x:c r="D34" t="str">
        <x:v>Sales &amp; Marketing</x:v>
      </x:c>
      <x:c r="E34" t="str">
        <x:v>P&amp;L Activity</x:v>
      </x:c>
      <x:c r="F34" s="400" t="n">
        <x:v>0.438</x:v>
      </x:c>
      <x:c r="G34" t="str">
        <x:v>Synthetic ERP Export</x:v>
      </x:c>
      <x:c r="H34" t="str">
        <x:v>FY2026_DEMO</x:v>
      </x:c>
      <x:c r="I34" s="392" t="n">
        <x:v>46259.42291666667</x:v>
      </x:c>
      <x:c r="J34" t="str">
        <x:f>IF($B34="","",IF(COUNTIF(Account_Map!$A$6:$A$31,$B34)&gt;0,"Mapped","UNMAPPED"))</x:f>
        <x:v>Mapped</x:v>
      </x:c>
    </x:row>
    <x:row r="35">
      <x:c r="A35" s="290" t="n">
        <x:v>46081</x:v>
      </x:c>
      <x:c r="B35" t="str">
        <x:v>6200</x:v>
      </x:c>
      <x:c r="C35" t="str">
        <x:v>Research &amp; Development</x:v>
      </x:c>
      <x:c r="D35" t="str">
        <x:v>Product &amp; Engineering</x:v>
      </x:c>
      <x:c r="E35" t="str">
        <x:v>P&amp;L Activity</x:v>
      </x:c>
      <x:c r="F35" s="400" t="n">
        <x:v>0.2628</x:v>
      </x:c>
      <x:c r="G35" t="str">
        <x:v>Synthetic ERP Export</x:v>
      </x:c>
      <x:c r="H35" t="str">
        <x:v>FY2026_DEMO</x:v>
      </x:c>
      <x:c r="I35" s="392" t="n">
        <x:v>46259.42291666667</x:v>
      </x:c>
      <x:c r="J35" t="str">
        <x:f>IF($B35="","",IF(COUNTIF(Account_Map!$A$6:$A$31,$B35)&gt;0,"Mapped","UNMAPPED"))</x:f>
        <x:v>Mapped</x:v>
      </x:c>
    </x:row>
    <x:row r="36">
      <x:c r="A36" s="290" t="n">
        <x:v>46081</x:v>
      </x:c>
      <x:c r="B36" t="str">
        <x:v>6300</x:v>
      </x:c>
      <x:c r="C36" t="str">
        <x:v>General &amp; Administrative</x:v>
      </x:c>
      <x:c r="D36" t="str">
        <x:v>Corporate</x:v>
      </x:c>
      <x:c r="E36" t="str">
        <x:v>P&amp;L Activity</x:v>
      </x:c>
      <x:c r="F36" s="400" t="n">
        <x:v>0.219</x:v>
      </x:c>
      <x:c r="G36" t="str">
        <x:v>Synthetic ERP Export</x:v>
      </x:c>
      <x:c r="H36" t="str">
        <x:v>FY2026_DEMO</x:v>
      </x:c>
      <x:c r="I36" s="392" t="n">
        <x:v>46259.42291666667</x:v>
      </x:c>
      <x:c r="J36" t="str">
        <x:f>IF($B36="","",IF(COUNTIF(Account_Map!$A$6:$A$31,$B36)&gt;0,"Mapped","UNMAPPED"))</x:f>
        <x:v>Mapped</x:v>
      </x:c>
    </x:row>
    <x:row r="37">
      <x:c r="A37" s="290" t="n">
        <x:v>46081</x:v>
      </x:c>
      <x:c r="B37" t="str">
        <x:v>7000</x:v>
      </x:c>
      <x:c r="C37" t="str">
        <x:v>Depreciation &amp; Amortization</x:v>
      </x:c>
      <x:c r="D37" t="str">
        <x:v>Corporate</x:v>
      </x:c>
      <x:c r="E37" t="str">
        <x:v>P&amp;L Activity</x:v>
      </x:c>
      <x:c r="F37" s="400" t="n">
        <x:v>0.0292</x:v>
      </x:c>
      <x:c r="G37" t="str">
        <x:v>Synthetic ERP Export</x:v>
      </x:c>
      <x:c r="H37" t="str">
        <x:v>FY2026_DEMO</x:v>
      </x:c>
      <x:c r="I37" s="392" t="n">
        <x:v>46259.42291666667</x:v>
      </x:c>
      <x:c r="J37" t="str">
        <x:f>IF($B37="","",IF(COUNTIF(Account_Map!$A$6:$A$31,$B37)&gt;0,"Mapped","UNMAPPED"))</x:f>
        <x:v>Mapped</x:v>
      </x:c>
    </x:row>
    <x:row r="38">
      <x:c r="A38" s="290" t="n">
        <x:v>46081</x:v>
      </x:c>
      <x:c r="B38" t="str">
        <x:v>7100</x:v>
      </x:c>
      <x:c r="C38" t="str">
        <x:v>Interest Expense</x:v>
      </x:c>
      <x:c r="D38" t="str">
        <x:v>Corporate</x:v>
      </x:c>
      <x:c r="E38" t="str">
        <x:v>P&amp;L Activity</x:v>
      </x:c>
      <x:c r="F38" s="400" t="n">
        <x:v>0.0219</x:v>
      </x:c>
      <x:c r="G38" t="str">
        <x:v>Synthetic ERP Export</x:v>
      </x:c>
      <x:c r="H38" t="str">
        <x:v>FY2026_DEMO</x:v>
      </x:c>
      <x:c r="I38" s="392" t="n">
        <x:v>46259.42291666667</x:v>
      </x:c>
      <x:c r="J38" t="str">
        <x:f>IF($B38="","",IF(COUNTIF(Account_Map!$A$6:$A$31,$B38)&gt;0,"Mapped","UNMAPPED"))</x:f>
        <x:v>Mapped</x:v>
      </x:c>
    </x:row>
    <x:row r="39">
      <x:c r="A39" s="290" t="n">
        <x:v>46081</x:v>
      </x:c>
      <x:c r="B39" t="str">
        <x:v>7200</x:v>
      </x:c>
      <x:c r="C39" t="str">
        <x:v>Income Taxes</x:v>
      </x:c>
      <x:c r="D39" t="str">
        <x:v>Corporate</x:v>
      </x:c>
      <x:c r="E39" t="str">
        <x:v>P&amp;L Activity</x:v>
      </x:c>
      <x:c r="F39" s="400" t="n">
        <x:v>0.031025</x:v>
      </x:c>
      <x:c r="G39" t="str">
        <x:v>Synthetic ERP Export</x:v>
      </x:c>
      <x:c r="H39" t="str">
        <x:v>FY2026_DEMO</x:v>
      </x:c>
      <x:c r="I39" s="392" t="n">
        <x:v>46259.42291666667</x:v>
      </x:c>
      <x:c r="J39" t="str">
        <x:f>IF($B39="","",IF(COUNTIF(Account_Map!$A$6:$A$31,$B39)&gt;0,"Mapped","UNMAPPED"))</x:f>
        <x:v>Mapped</x:v>
      </x:c>
    </x:row>
    <x:row r="40">
      <x:c r="A40" s="290" t="n">
        <x:v>46112</x:v>
      </x:c>
      <x:c r="B40" t="str">
        <x:v>1000</x:v>
      </x:c>
      <x:c r="C40" t="str">
        <x:v>Cash &amp; Cash Equivalents</x:v>
      </x:c>
      <x:c r="D40" t="str">
        <x:v>Corporate</x:v>
      </x:c>
      <x:c r="E40" t="str">
        <x:v>BS Snapshot</x:v>
      </x:c>
      <x:c r="F40" s="400" t="n">
        <x:v>3.5125</x:v>
      </x:c>
      <x:c r="G40" t="str">
        <x:v>Synthetic ERP Export</x:v>
      </x:c>
      <x:c r="H40" t="str">
        <x:v>FY2026_DEMO</x:v>
      </x:c>
      <x:c r="I40" s="392" t="n">
        <x:v>46259.42291666667</x:v>
      </x:c>
      <x:c r="J40" t="str">
        <x:f>IF($B40="","",IF(COUNTIF(Account_Map!$A$6:$A$31,$B40)&gt;0,"Mapped","UNMAPPED"))</x:f>
        <x:v>Mapped</x:v>
      </x:c>
    </x:row>
    <x:row r="41">
      <x:c r="A41" s="290" t="n">
        <x:v>46112</x:v>
      </x:c>
      <x:c r="B41" t="str">
        <x:v>1100</x:v>
      </x:c>
      <x:c r="C41" t="str">
        <x:v>Accounts Receivable</x:v>
      </x:c>
      <x:c r="D41" t="str">
        <x:v>Corporate</x:v>
      </x:c>
      <x:c r="E41" t="str">
        <x:v>BS Snapshot</x:v>
      </x:c>
      <x:c r="F41" s="400" t="n">
        <x:v>2.191438</x:v>
      </x:c>
      <x:c r="G41" t="str">
        <x:v>Synthetic ERP Export</x:v>
      </x:c>
      <x:c r="H41" t="str">
        <x:v>FY2026_DEMO</x:v>
      </x:c>
      <x:c r="I41" s="392" t="n">
        <x:v>46259.42291666667</x:v>
      </x:c>
      <x:c r="J41" t="str">
        <x:f>IF($B41="","",IF(COUNTIF(Account_Map!$A$6:$A$31,$B41)&gt;0,"Mapped","UNMAPPED"))</x:f>
        <x:v>Mapped</x:v>
      </x:c>
    </x:row>
    <x:row r="42">
      <x:c r="A42" s="290" t="n">
        <x:v>46112</x:v>
      </x:c>
      <x:c r="B42" t="str">
        <x:v>1200</x:v>
      </x:c>
      <x:c r="C42" t="str">
        <x:v>Other Current Assets</x:v>
      </x:c>
      <x:c r="D42" t="str">
        <x:v>Corporate</x:v>
      </x:c>
      <x:c r="E42" t="str">
        <x:v>BS Snapshot</x:v>
      </x:c>
      <x:c r="F42" s="400" t="n">
        <x:v>0.51</x:v>
      </x:c>
      <x:c r="G42" t="str">
        <x:v>Synthetic ERP Export</x:v>
      </x:c>
      <x:c r="H42" t="str">
        <x:v>FY2026_DEMO</x:v>
      </x:c>
      <x:c r="I42" s="392" t="n">
        <x:v>46259.42291666667</x:v>
      </x:c>
      <x:c r="J42" t="str">
        <x:f>IF($B42="","",IF(COUNTIF(Account_Map!$A$6:$A$31,$B42)&gt;0,"Mapped","UNMAPPED"))</x:f>
        <x:v>Mapped</x:v>
      </x:c>
    </x:row>
    <x:row r="43">
      <x:c r="A43" s="290" t="n">
        <x:v>46112</x:v>
      </x:c>
      <x:c r="B43" t="str">
        <x:v>1500</x:v>
      </x:c>
      <x:c r="C43" t="str">
        <x:v>PP&amp;E, Net</x:v>
      </x:c>
      <x:c r="D43" t="str">
        <x:v>Corporate</x:v>
      </x:c>
      <x:c r="E43" t="str">
        <x:v>BS Snapshot</x:v>
      </x:c>
      <x:c r="F43" s="400" t="n">
        <x:v>1.8125</x:v>
      </x:c>
      <x:c r="G43" t="str">
        <x:v>Synthetic ERP Export</x:v>
      </x:c>
      <x:c r="H43" t="str">
        <x:v>FY2026_DEMO</x:v>
      </x:c>
      <x:c r="I43" s="392" t="n">
        <x:v>46259.42291666667</x:v>
      </x:c>
      <x:c r="J43" t="str">
        <x:f>IF($B43="","",IF(COUNTIF(Account_Map!$A$6:$A$31,$B43)&gt;0,"Mapped","UNMAPPED"))</x:f>
        <x:v>Mapped</x:v>
      </x:c>
    </x:row>
    <x:row r="44">
      <x:c r="A44" s="290" t="n">
        <x:v>46112</x:v>
      </x:c>
      <x:c r="B44" t="str">
        <x:v>2000</x:v>
      </x:c>
      <x:c r="C44" t="str">
        <x:v>Accounts Payable</x:v>
      </x:c>
      <x:c r="D44" t="str">
        <x:v>Corporate</x:v>
      </x:c>
      <x:c r="E44" t="str">
        <x:v>BS Snapshot</x:v>
      </x:c>
      <x:c r="F44" s="400" t="n">
        <x:v>-0.35774</x:v>
      </x:c>
      <x:c r="G44" t="str">
        <x:v>Synthetic ERP Export</x:v>
      </x:c>
      <x:c r="H44" t="str">
        <x:v>FY2026_DEMO</x:v>
      </x:c>
      <x:c r="I44" s="392" t="n">
        <x:v>46259.42291666667</x:v>
      </x:c>
      <x:c r="J44" t="str">
        <x:f>IF($B44="","",IF(COUNTIF(Account_Map!$A$6:$A$31,$B44)&gt;0,"Mapped","UNMAPPED"))</x:f>
        <x:v>Mapped</x:v>
      </x:c>
    </x:row>
    <x:row r="45">
      <x:c r="A45" s="290" t="n">
        <x:v>46112</x:v>
      </x:c>
      <x:c r="B45" t="str">
        <x:v>2100</x:v>
      </x:c>
      <x:c r="C45" t="str">
        <x:v>Accrued Expenses</x:v>
      </x:c>
      <x:c r="D45" t="str">
        <x:v>Corporate</x:v>
      </x:c>
      <x:c r="E45" t="str">
        <x:v>BS Snapshot</x:v>
      </x:c>
      <x:c r="F45" s="400" t="n">
        <x:v>-0.9045</x:v>
      </x:c>
      <x:c r="G45" t="str">
        <x:v>Synthetic ERP Export</x:v>
      </x:c>
      <x:c r="H45" t="str">
        <x:v>FY2026_DEMO</x:v>
      </x:c>
      <x:c r="I45" s="392" t="n">
        <x:v>46259.42291666667</x:v>
      </x:c>
      <x:c r="J45" t="str">
        <x:f>IF($B45="","",IF(COUNTIF(Account_Map!$A$6:$A$31,$B45)&gt;0,"Mapped","UNMAPPED"))</x:f>
        <x:v>Mapped</x:v>
      </x:c>
    </x:row>
    <x:row r="46">
      <x:c r="A46" s="290" t="n">
        <x:v>46112</x:v>
      </x:c>
      <x:c r="B46" t="str">
        <x:v>2200</x:v>
      </x:c>
      <x:c r="C46" t="str">
        <x:v>Deferred Revenue</x:v>
      </x:c>
      <x:c r="D46" t="str">
        <x:v>Corporate</x:v>
      </x:c>
      <x:c r="E46" t="str">
        <x:v>BS Snapshot</x:v>
      </x:c>
      <x:c r="F46" s="400" t="n">
        <x:v>-1.775</x:v>
      </x:c>
      <x:c r="G46" t="str">
        <x:v>Synthetic ERP Export</x:v>
      </x:c>
      <x:c r="H46" t="str">
        <x:v>FY2026_DEMO</x:v>
      </x:c>
      <x:c r="I46" s="392" t="n">
        <x:v>46259.42291666667</x:v>
      </x:c>
      <x:c r="J46" t="str">
        <x:f>IF($B46="","",IF(COUNTIF(Account_Map!$A$6:$A$31,$B46)&gt;0,"Mapped","UNMAPPED"))</x:f>
        <x:v>Mapped</x:v>
      </x:c>
    </x:row>
    <x:row r="47">
      <x:c r="A47" s="290" t="n">
        <x:v>46112</x:v>
      </x:c>
      <x:c r="B47" t="str">
        <x:v>2500</x:v>
      </x:c>
      <x:c r="C47" t="str">
        <x:v>Debt</x:v>
      </x:c>
      <x:c r="D47" t="str">
        <x:v>Corporate</x:v>
      </x:c>
      <x:c r="E47" t="str">
        <x:v>BS Snapshot</x:v>
      </x:c>
      <x:c r="F47" s="400" t="n">
        <x:v>-2.8</x:v>
      </x:c>
      <x:c r="G47" t="str">
        <x:v>Synthetic ERP Export</x:v>
      </x:c>
      <x:c r="H47" t="str">
        <x:v>FY2026_DEMO</x:v>
      </x:c>
      <x:c r="I47" s="392" t="n">
        <x:v>46259.42291666667</x:v>
      </x:c>
      <x:c r="J47" t="str">
        <x:f>IF($B47="","",IF(COUNTIF(Account_Map!$A$6:$A$31,$B47)&gt;0,"Mapped","UNMAPPED"))</x:f>
        <x:v>Mapped</x:v>
      </x:c>
    </x:row>
    <x:row r="48">
      <x:c r="A48" s="290" t="n">
        <x:v>46112</x:v>
      </x:c>
      <x:c r="B48" t="str">
        <x:v>3000</x:v>
      </x:c>
      <x:c r="C48" t="str">
        <x:v>Equity</x:v>
      </x:c>
      <x:c r="D48" t="str">
        <x:v>Corporate</x:v>
      </x:c>
      <x:c r="E48" t="str">
        <x:v>BS Snapshot</x:v>
      </x:c>
      <x:c r="F48" s="400" t="n">
        <x:v>-2.286699</x:v>
      </x:c>
      <x:c r="G48" t="str">
        <x:v>Synthetic ERP Export</x:v>
      </x:c>
      <x:c r="H48" t="str">
        <x:v>FY2026_DEMO</x:v>
      </x:c>
      <x:c r="I48" s="392" t="n">
        <x:v>46259.42291666667</x:v>
      </x:c>
      <x:c r="J48" t="str">
        <x:f>IF($B48="","",IF(COUNTIF(Account_Map!$A$6:$A$31,$B48)&gt;0,"Mapped","UNMAPPED"))</x:f>
        <x:v>Mapped</x:v>
      </x:c>
    </x:row>
    <x:row r="49">
      <x:c r="A49" s="290" t="n">
        <x:v>46112</x:v>
      </x:c>
      <x:c r="B49" t="str">
        <x:v>4000</x:v>
      </x:c>
      <x:c r="C49" t="str">
        <x:v>Subscription Revenue</x:v>
      </x:c>
      <x:c r="D49" t="str">
        <x:v>Sales</x:v>
      </x:c>
      <x:c r="E49" t="str">
        <x:v>P&amp;L Activity</x:v>
      </x:c>
      <x:c r="F49" s="400" t="n">
        <x:v>-1.5</x:v>
      </x:c>
      <x:c r="G49" t="str">
        <x:v>Synthetic ERP Export</x:v>
      </x:c>
      <x:c r="H49" t="str">
        <x:v>FY2026_DEMO</x:v>
      </x:c>
      <x:c r="I49" s="392" t="n">
        <x:v>46259.42291666667</x:v>
      </x:c>
      <x:c r="J49" t="str">
        <x:f>IF($B49="","",IF(COUNTIF(Account_Map!$A$6:$A$31,$B49)&gt;0,"Mapped","UNMAPPED"))</x:f>
        <x:v>Mapped</x:v>
      </x:c>
    </x:row>
    <x:row r="50">
      <x:c r="A50" s="290" t="n">
        <x:v>46112</x:v>
      </x:c>
      <x:c r="B50" t="str">
        <x:v>5000</x:v>
      </x:c>
      <x:c r="C50" t="str">
        <x:v>Hosting &amp; Service Delivery</x:v>
      </x:c>
      <x:c r="D50" t="str">
        <x:v>Operations</x:v>
      </x:c>
      <x:c r="E50" t="str">
        <x:v>P&amp;L Activity</x:v>
      </x:c>
      <x:c r="F50" s="400" t="n">
        <x:v>0.375</x:v>
      </x:c>
      <x:c r="G50" t="str">
        <x:v>Synthetic ERP Export</x:v>
      </x:c>
      <x:c r="H50" t="str">
        <x:v>FY2026_DEMO</x:v>
      </x:c>
      <x:c r="I50" s="392" t="n">
        <x:v>46259.42291666667</x:v>
      </x:c>
      <x:c r="J50" t="str">
        <x:f>IF($B50="","",IF(COUNTIF(Account_Map!$A$6:$A$31,$B50)&gt;0,"Mapped","UNMAPPED"))</x:f>
        <x:v>Mapped</x:v>
      </x:c>
    </x:row>
    <x:row r="51">
      <x:c r="A51" s="290" t="n">
        <x:v>46112</x:v>
      </x:c>
      <x:c r="B51" t="str">
        <x:v>6100</x:v>
      </x:c>
      <x:c r="C51" t="str">
        <x:v>Sales &amp; Marketing</x:v>
      </x:c>
      <x:c r="D51" t="str">
        <x:v>Sales &amp; Marketing</x:v>
      </x:c>
      <x:c r="E51" t="str">
        <x:v>P&amp;L Activity</x:v>
      </x:c>
      <x:c r="F51" s="400" t="n">
        <x:v>0.45</x:v>
      </x:c>
      <x:c r="G51" t="str">
        <x:v>Synthetic ERP Export</x:v>
      </x:c>
      <x:c r="H51" t="str">
        <x:v>FY2026_DEMO</x:v>
      </x:c>
      <x:c r="I51" s="392" t="n">
        <x:v>46259.42291666667</x:v>
      </x:c>
      <x:c r="J51" t="str">
        <x:f>IF($B51="","",IF(COUNTIF(Account_Map!$A$6:$A$31,$B51)&gt;0,"Mapped","UNMAPPED"))</x:f>
        <x:v>Mapped</x:v>
      </x:c>
    </x:row>
    <x:row r="52">
      <x:c r="A52" s="290" t="n">
        <x:v>46112</x:v>
      </x:c>
      <x:c r="B52" t="str">
        <x:v>6200</x:v>
      </x:c>
      <x:c r="C52" t="str">
        <x:v>Research &amp; Development</x:v>
      </x:c>
      <x:c r="D52" t="str">
        <x:v>Product &amp; Engineering</x:v>
      </x:c>
      <x:c r="E52" t="str">
        <x:v>P&amp;L Activity</x:v>
      </x:c>
      <x:c r="F52" s="400" t="n">
        <x:v>0.27</x:v>
      </x:c>
      <x:c r="G52" t="str">
        <x:v>Synthetic ERP Export</x:v>
      </x:c>
      <x:c r="H52" t="str">
        <x:v>FY2026_DEMO</x:v>
      </x:c>
      <x:c r="I52" s="392" t="n">
        <x:v>46259.42291666667</x:v>
      </x:c>
      <x:c r="J52" t="str">
        <x:f>IF($B52="","",IF(COUNTIF(Account_Map!$A$6:$A$31,$B52)&gt;0,"Mapped","UNMAPPED"))</x:f>
        <x:v>Mapped</x:v>
      </x:c>
    </x:row>
    <x:row r="53">
      <x:c r="A53" s="290" t="n">
        <x:v>46112</x:v>
      </x:c>
      <x:c r="B53" t="str">
        <x:v>6300</x:v>
      </x:c>
      <x:c r="C53" t="str">
        <x:v>General &amp; Administrative</x:v>
      </x:c>
      <x:c r="D53" t="str">
        <x:v>Corporate</x:v>
      </x:c>
      <x:c r="E53" t="str">
        <x:v>P&amp;L Activity</x:v>
      </x:c>
      <x:c r="F53" s="400" t="n">
        <x:v>0.225</x:v>
      </x:c>
      <x:c r="G53" t="str">
        <x:v>Synthetic ERP Export</x:v>
      </x:c>
      <x:c r="H53" t="str">
        <x:v>FY2026_DEMO</x:v>
      </x:c>
      <x:c r="I53" s="392" t="n">
        <x:v>46259.42291666667</x:v>
      </x:c>
      <x:c r="J53" t="str">
        <x:f>IF($B53="","",IF(COUNTIF(Account_Map!$A$6:$A$31,$B53)&gt;0,"Mapped","UNMAPPED"))</x:f>
        <x:v>Mapped</x:v>
      </x:c>
    </x:row>
    <x:row r="54">
      <x:c r="A54" s="290" t="n">
        <x:v>46112</x:v>
      </x:c>
      <x:c r="B54" t="str">
        <x:v>7000</x:v>
      </x:c>
      <x:c r="C54" t="str">
        <x:v>Depreciation &amp; Amortization</x:v>
      </x:c>
      <x:c r="D54" t="str">
        <x:v>Corporate</x:v>
      </x:c>
      <x:c r="E54" t="str">
        <x:v>P&amp;L Activity</x:v>
      </x:c>
      <x:c r="F54" s="400" t="n">
        <x:v>0.03</x:v>
      </x:c>
      <x:c r="G54" t="str">
        <x:v>Synthetic ERP Export</x:v>
      </x:c>
      <x:c r="H54" t="str">
        <x:v>FY2026_DEMO</x:v>
      </x:c>
      <x:c r="I54" s="392" t="n">
        <x:v>46259.42291666667</x:v>
      </x:c>
      <x:c r="J54" t="str">
        <x:f>IF($B54="","",IF(COUNTIF(Account_Map!$A$6:$A$31,$B54)&gt;0,"Mapped","UNMAPPED"))</x:f>
        <x:v>Mapped</x:v>
      </x:c>
    </x:row>
    <x:row r="55">
      <x:c r="A55" s="290" t="n">
        <x:v>46112</x:v>
      </x:c>
      <x:c r="B55" t="str">
        <x:v>7100</x:v>
      </x:c>
      <x:c r="C55" t="str">
        <x:v>Interest Expense</x:v>
      </x:c>
      <x:c r="D55" t="str">
        <x:v>Corporate</x:v>
      </x:c>
      <x:c r="E55" t="str">
        <x:v>P&amp;L Activity</x:v>
      </x:c>
      <x:c r="F55" s="400" t="n">
        <x:v>0.0225</x:v>
      </x:c>
      <x:c r="G55" t="str">
        <x:v>Synthetic ERP Export</x:v>
      </x:c>
      <x:c r="H55" t="str">
        <x:v>FY2026_DEMO</x:v>
      </x:c>
      <x:c r="I55" s="392" t="n">
        <x:v>46259.42291666667</x:v>
      </x:c>
      <x:c r="J55" t="str">
        <x:f>IF($B55="","",IF(COUNTIF(Account_Map!$A$6:$A$31,$B55)&gt;0,"Mapped","UNMAPPED"))</x:f>
        <x:v>Mapped</x:v>
      </x:c>
    </x:row>
    <x:row r="56">
      <x:c r="A56" s="290" t="n">
        <x:v>46112</x:v>
      </x:c>
      <x:c r="B56" t="str">
        <x:v>7200</x:v>
      </x:c>
      <x:c r="C56" t="str">
        <x:v>Income Taxes</x:v>
      </x:c>
      <x:c r="D56" t="str">
        <x:v>Corporate</x:v>
      </x:c>
      <x:c r="E56" t="str">
        <x:v>P&amp;L Activity</x:v>
      </x:c>
      <x:c r="F56" s="400" t="n">
        <x:v>0.031875</x:v>
      </x:c>
      <x:c r="G56" t="str">
        <x:v>Synthetic ERP Export</x:v>
      </x:c>
      <x:c r="H56" t="str">
        <x:v>FY2026_DEMO</x:v>
      </x:c>
      <x:c r="I56" s="392" t="n">
        <x:v>46259.42291666667</x:v>
      </x:c>
      <x:c r="J56" t="str">
        <x:f>IF($B56="","",IF(COUNTIF(Account_Map!$A$6:$A$31,$B56)&gt;0,"Mapped","UNMAPPED"))</x:f>
        <x:v>Mapped</x:v>
      </x:c>
    </x:row>
    <x:row r="57">
      <x:c r="A57" s="290" t="n">
        <x:v>46142</x:v>
      </x:c>
      <x:c r="B57" t="str">
        <x:v>1000</x:v>
      </x:c>
      <x:c r="C57" t="str">
        <x:v>Cash &amp; Cash Equivalents</x:v>
      </x:c>
      <x:c r="D57" t="str">
        <x:v>Corporate</x:v>
      </x:c>
      <x:c r="E57" t="str">
        <x:v>BS Snapshot</x:v>
      </x:c>
      <x:c r="F57" s="400" t="n">
        <x:v>3.566667</x:v>
      </x:c>
      <x:c r="G57" t="str">
        <x:v>Synthetic ERP Export</x:v>
      </x:c>
      <x:c r="H57" t="str">
        <x:v>FY2026_DEMO</x:v>
      </x:c>
      <x:c r="I57" s="392" t="n">
        <x:v>46259.42291666667</x:v>
      </x:c>
      <x:c r="J57" t="str">
        <x:f>IF($B57="","",IF(COUNTIF(Account_Map!$A$6:$A$31,$B57)&gt;0,"Mapped","UNMAPPED"))</x:f>
        <x:v>Mapped</x:v>
      </x:c>
    </x:row>
    <x:row r="58">
      <x:c r="A58" s="290" t="n">
        <x:v>46142</x:v>
      </x:c>
      <x:c r="B58" t="str">
        <x:v>1100</x:v>
      </x:c>
      <x:c r="C58" t="str">
        <x:v>Accounts Receivable</x:v>
      </x:c>
      <x:c r="D58" t="str">
        <x:v>Corporate</x:v>
      </x:c>
      <x:c r="E58" t="str">
        <x:v>BS Snapshot</x:v>
      </x:c>
      <x:c r="F58" s="400" t="n">
        <x:v>2.221918</x:v>
      </x:c>
      <x:c r="G58" t="str">
        <x:v>Synthetic ERP Export</x:v>
      </x:c>
      <x:c r="H58" t="str">
        <x:v>FY2026_DEMO</x:v>
      </x:c>
      <x:c r="I58" s="392" t="n">
        <x:v>46259.42291666667</x:v>
      </x:c>
      <x:c r="J58" t="str">
        <x:f>IF($B58="","",IF(COUNTIF(Account_Map!$A$6:$A$31,$B58)&gt;0,"Mapped","UNMAPPED"))</x:f>
        <x:v>Mapped</x:v>
      </x:c>
    </x:row>
    <x:row r="59">
      <x:c r="A59" s="290" t="n">
        <x:v>46142</x:v>
      </x:c>
      <x:c r="B59" t="str">
        <x:v>1200</x:v>
      </x:c>
      <x:c r="C59" t="str">
        <x:v>Other Current Assets</x:v>
      </x:c>
      <x:c r="D59" t="str">
        <x:v>Corporate</x:v>
      </x:c>
      <x:c r="E59" t="str">
        <x:v>BS Snapshot</x:v>
      </x:c>
      <x:c r="F59" s="400" t="n">
        <x:v>0.52</x:v>
      </x:c>
      <x:c r="G59" t="str">
        <x:v>Synthetic ERP Export</x:v>
      </x:c>
      <x:c r="H59" t="str">
        <x:v>FY2026_DEMO</x:v>
      </x:c>
      <x:c r="I59" s="392" t="n">
        <x:v>46259.42291666667</x:v>
      </x:c>
      <x:c r="J59" t="str">
        <x:f>IF($B59="","",IF(COUNTIF(Account_Map!$A$6:$A$31,$B59)&gt;0,"Mapped","UNMAPPED"))</x:f>
        <x:v>Mapped</x:v>
      </x:c>
    </x:row>
    <x:row r="60">
      <x:c r="A60" s="290" t="n">
        <x:v>46142</x:v>
      </x:c>
      <x:c r="B60" t="str">
        <x:v>1500</x:v>
      </x:c>
      <x:c r="C60" t="str">
        <x:v>PP&amp;E, Net</x:v>
      </x:c>
      <x:c r="D60" t="str">
        <x:v>Corporate</x:v>
      </x:c>
      <x:c r="E60" t="str">
        <x:v>BS Snapshot</x:v>
      </x:c>
      <x:c r="F60" s="400" t="n">
        <x:v>1.833333</x:v>
      </x:c>
      <x:c r="G60" t="str">
        <x:v>Synthetic ERP Export</x:v>
      </x:c>
      <x:c r="H60" t="str">
        <x:v>FY2026_DEMO</x:v>
      </x:c>
      <x:c r="I60" s="392" t="n">
        <x:v>46259.42291666667</x:v>
      </x:c>
      <x:c r="J60" t="str">
        <x:f>IF($B60="","",IF(COUNTIF(Account_Map!$A$6:$A$31,$B60)&gt;0,"Mapped","UNMAPPED"))</x:f>
        <x:v>Mapped</x:v>
      </x:c>
    </x:row>
    <x:row r="61">
      <x:c r="A61" s="290" t="n">
        <x:v>46142</x:v>
      </x:c>
      <x:c r="B61" t="str">
        <x:v>2000</x:v>
      </x:c>
      <x:c r="C61" t="str">
        <x:v>Accounts Payable</x:v>
      </x:c>
      <x:c r="D61" t="str">
        <x:v>Corporate</x:v>
      </x:c>
      <x:c r="E61" t="str">
        <x:v>BS Snapshot</x:v>
      </x:c>
      <x:c r="F61" s="400" t="n">
        <x:v>-0.363653</x:v>
      </x:c>
      <x:c r="G61" t="str">
        <x:v>Synthetic ERP Export</x:v>
      </x:c>
      <x:c r="H61" t="str">
        <x:v>FY2026_DEMO</x:v>
      </x:c>
      <x:c r="I61" s="392" t="n">
        <x:v>46259.42291666667</x:v>
      </x:c>
      <x:c r="J61" t="str">
        <x:f>IF($B61="","",IF(COUNTIF(Account_Map!$A$6:$A$31,$B61)&gt;0,"Mapped","UNMAPPED"))</x:f>
        <x:v>Mapped</x:v>
      </x:c>
    </x:row>
    <x:row r="62">
      <x:c r="A62" s="290" t="n">
        <x:v>46142</x:v>
      </x:c>
      <x:c r="B62" t="str">
        <x:v>2100</x:v>
      </x:c>
      <x:c r="C62" t="str">
        <x:v>Accrued Expenses</x:v>
      </x:c>
      <x:c r="D62" t="str">
        <x:v>Corporate</x:v>
      </x:c>
      <x:c r="E62" t="str">
        <x:v>BS Snapshot</x:v>
      </x:c>
      <x:c r="F62" s="400" t="n">
        <x:v>-0.916</x:v>
      </x:c>
      <x:c r="G62" t="str">
        <x:v>Synthetic ERP Export</x:v>
      </x:c>
      <x:c r="H62" t="str">
        <x:v>FY2026_DEMO</x:v>
      </x:c>
      <x:c r="I62" s="392" t="n">
        <x:v>46259.42291666667</x:v>
      </x:c>
      <x:c r="J62" t="str">
        <x:f>IF($B62="","",IF(COUNTIF(Account_Map!$A$6:$A$31,$B62)&gt;0,"Mapped","UNMAPPED"))</x:f>
        <x:v>Mapped</x:v>
      </x:c>
    </x:row>
    <x:row r="63">
      <x:c r="A63" s="290" t="n">
        <x:v>46142</x:v>
      </x:c>
      <x:c r="B63" t="str">
        <x:v>2200</x:v>
      </x:c>
      <x:c r="C63" t="str">
        <x:v>Deferred Revenue</x:v>
      </x:c>
      <x:c r="D63" t="str">
        <x:v>Corporate</x:v>
      </x:c>
      <x:c r="E63" t="str">
        <x:v>BS Snapshot</x:v>
      </x:c>
      <x:c r="F63" s="400" t="n">
        <x:v>-1.8</x:v>
      </x:c>
      <x:c r="G63" t="str">
        <x:v>Synthetic ERP Export</x:v>
      </x:c>
      <x:c r="H63" t="str">
        <x:v>FY2026_DEMO</x:v>
      </x:c>
      <x:c r="I63" s="392" t="n">
        <x:v>46259.42291666667</x:v>
      </x:c>
      <x:c r="J63" t="str">
        <x:f>IF($B63="","",IF(COUNTIF(Account_Map!$A$6:$A$31,$B63)&gt;0,"Mapped","UNMAPPED"))</x:f>
        <x:v>Mapped</x:v>
      </x:c>
    </x:row>
    <x:row r="64">
      <x:c r="A64" s="290" t="n">
        <x:v>46142</x:v>
      </x:c>
      <x:c r="B64" t="str">
        <x:v>2500</x:v>
      </x:c>
      <x:c r="C64" t="str">
        <x:v>Debt</x:v>
      </x:c>
      <x:c r="D64" t="str">
        <x:v>Corporate</x:v>
      </x:c>
      <x:c r="E64" t="str">
        <x:v>BS Snapshot</x:v>
      </x:c>
      <x:c r="F64" s="400" t="n">
        <x:v>-2.766667</x:v>
      </x:c>
      <x:c r="G64" t="str">
        <x:v>Synthetic ERP Export</x:v>
      </x:c>
      <x:c r="H64" t="str">
        <x:v>FY2026_DEMO</x:v>
      </x:c>
      <x:c r="I64" s="392" t="n">
        <x:v>46259.42291666667</x:v>
      </x:c>
      <x:c r="J64" t="str">
        <x:f>IF($B64="","",IF(COUNTIF(Account_Map!$A$6:$A$31,$B64)&gt;0,"Mapped","UNMAPPED"))</x:f>
        <x:v>Mapped</x:v>
      </x:c>
    </x:row>
    <x:row r="65">
      <x:c r="A65" s="290" t="n">
        <x:v>46142</x:v>
      </x:c>
      <x:c r="B65" t="str">
        <x:v>3000</x:v>
      </x:c>
      <x:c r="C65" t="str">
        <x:v>Equity</x:v>
      </x:c>
      <x:c r="D65" t="str">
        <x:v>Corporate</x:v>
      </x:c>
      <x:c r="E65" t="str">
        <x:v>BS Snapshot</x:v>
      </x:c>
      <x:c r="F65" s="400" t="n">
        <x:v>-2.382265</x:v>
      </x:c>
      <x:c r="G65" t="str">
        <x:v>Synthetic ERP Export</x:v>
      </x:c>
      <x:c r="H65" t="str">
        <x:v>FY2026_DEMO</x:v>
      </x:c>
      <x:c r="I65" s="392" t="n">
        <x:v>46259.42291666667</x:v>
      </x:c>
      <x:c r="J65" t="str">
        <x:f>IF($B65="","",IF(COUNTIF(Account_Map!$A$6:$A$31,$B65)&gt;0,"Mapped","UNMAPPED"))</x:f>
        <x:v>Mapped</x:v>
      </x:c>
    </x:row>
    <x:row r="66">
      <x:c r="A66" s="290" t="n">
        <x:v>46142</x:v>
      </x:c>
      <x:c r="B66" t="str">
        <x:v>4000</x:v>
      </x:c>
      <x:c r="C66" t="str">
        <x:v>Subscription Revenue</x:v>
      </x:c>
      <x:c r="D66" t="str">
        <x:v>Sales</x:v>
      </x:c>
      <x:c r="E66" t="str">
        <x:v>P&amp;L Activity</x:v>
      </x:c>
      <x:c r="F66" s="400" t="n">
        <x:v>-1.54</x:v>
      </x:c>
      <x:c r="G66" t="str">
        <x:v>Synthetic ERP Export</x:v>
      </x:c>
      <x:c r="H66" t="str">
        <x:v>FY2026_DEMO</x:v>
      </x:c>
      <x:c r="I66" s="392" t="n">
        <x:v>46259.42291666667</x:v>
      </x:c>
      <x:c r="J66" t="str">
        <x:f>IF($B66="","",IF(COUNTIF(Account_Map!$A$6:$A$31,$B66)&gt;0,"Mapped","UNMAPPED"))</x:f>
        <x:v>Mapped</x:v>
      </x:c>
    </x:row>
    <x:row r="67">
      <x:c r="A67" s="290" t="n">
        <x:v>46142</x:v>
      </x:c>
      <x:c r="B67" t="str">
        <x:v>5000</x:v>
      </x:c>
      <x:c r="C67" t="str">
        <x:v>Hosting &amp; Service Delivery</x:v>
      </x:c>
      <x:c r="D67" t="str">
        <x:v>Operations</x:v>
      </x:c>
      <x:c r="E67" t="str">
        <x:v>P&amp;L Activity</x:v>
      </x:c>
      <x:c r="F67" s="400" t="n">
        <x:v>0.385</x:v>
      </x:c>
      <x:c r="G67" t="str">
        <x:v>Synthetic ERP Export</x:v>
      </x:c>
      <x:c r="H67" t="str">
        <x:v>FY2026_DEMO</x:v>
      </x:c>
      <x:c r="I67" s="392" t="n">
        <x:v>46259.42291666667</x:v>
      </x:c>
      <x:c r="J67" t="str">
        <x:f>IF($B67="","",IF(COUNTIF(Account_Map!$A$6:$A$31,$B67)&gt;0,"Mapped","UNMAPPED"))</x:f>
        <x:v>Mapped</x:v>
      </x:c>
    </x:row>
    <x:row r="68">
      <x:c r="A68" s="290" t="n">
        <x:v>46142</x:v>
      </x:c>
      <x:c r="B68" t="str">
        <x:v>6100</x:v>
      </x:c>
      <x:c r="C68" t="str">
        <x:v>Sales &amp; Marketing</x:v>
      </x:c>
      <x:c r="D68" t="str">
        <x:v>Sales &amp; Marketing</x:v>
      </x:c>
      <x:c r="E68" t="str">
        <x:v>P&amp;L Activity</x:v>
      </x:c>
      <x:c r="F68" s="400" t="n">
        <x:v>0.462</x:v>
      </x:c>
      <x:c r="G68" t="str">
        <x:v>Synthetic ERP Export</x:v>
      </x:c>
      <x:c r="H68" t="str">
        <x:v>FY2026_DEMO</x:v>
      </x:c>
      <x:c r="I68" s="392" t="n">
        <x:v>46259.42291666667</x:v>
      </x:c>
      <x:c r="J68" t="str">
        <x:f>IF($B68="","",IF(COUNTIF(Account_Map!$A$6:$A$31,$B68)&gt;0,"Mapped","UNMAPPED"))</x:f>
        <x:v>Mapped</x:v>
      </x:c>
    </x:row>
    <x:row r="69">
      <x:c r="A69" s="290" t="n">
        <x:v>46142</x:v>
      </x:c>
      <x:c r="B69" t="str">
        <x:v>6200</x:v>
      </x:c>
      <x:c r="C69" t="str">
        <x:v>Research &amp; Development</x:v>
      </x:c>
      <x:c r="D69" t="str">
        <x:v>Product &amp; Engineering</x:v>
      </x:c>
      <x:c r="E69" t="str">
        <x:v>P&amp;L Activity</x:v>
      </x:c>
      <x:c r="F69" s="400" t="n">
        <x:v>0.2772</x:v>
      </x:c>
      <x:c r="G69" t="str">
        <x:v>Synthetic ERP Export</x:v>
      </x:c>
      <x:c r="H69" t="str">
        <x:v>FY2026_DEMO</x:v>
      </x:c>
      <x:c r="I69" s="392" t="n">
        <x:v>46259.42291666667</x:v>
      </x:c>
      <x:c r="J69" t="str">
        <x:f>IF($B69="","",IF(COUNTIF(Account_Map!$A$6:$A$31,$B69)&gt;0,"Mapped","UNMAPPED"))</x:f>
        <x:v>Mapped</x:v>
      </x:c>
    </x:row>
    <x:row r="70">
      <x:c r="A70" s="290" t="n">
        <x:v>46142</x:v>
      </x:c>
      <x:c r="B70" t="str">
        <x:v>6300</x:v>
      </x:c>
      <x:c r="C70" t="str">
        <x:v>General &amp; Administrative</x:v>
      </x:c>
      <x:c r="D70" t="str">
        <x:v>Corporate</x:v>
      </x:c>
      <x:c r="E70" t="str">
        <x:v>P&amp;L Activity</x:v>
      </x:c>
      <x:c r="F70" s="400" t="n">
        <x:v>0.231</x:v>
      </x:c>
      <x:c r="G70" t="str">
        <x:v>Synthetic ERP Export</x:v>
      </x:c>
      <x:c r="H70" t="str">
        <x:v>FY2026_DEMO</x:v>
      </x:c>
      <x:c r="I70" s="392" t="n">
        <x:v>46259.42291666667</x:v>
      </x:c>
      <x:c r="J70" t="str">
        <x:f>IF($B70="","",IF(COUNTIF(Account_Map!$A$6:$A$31,$B70)&gt;0,"Mapped","UNMAPPED"))</x:f>
        <x:v>Mapped</x:v>
      </x:c>
    </x:row>
    <x:row r="71">
      <x:c r="A71" s="290" t="n">
        <x:v>46142</x:v>
      </x:c>
      <x:c r="B71" t="str">
        <x:v>7000</x:v>
      </x:c>
      <x:c r="C71" t="str">
        <x:v>Depreciation &amp; Amortization</x:v>
      </x:c>
      <x:c r="D71" t="str">
        <x:v>Corporate</x:v>
      </x:c>
      <x:c r="E71" t="str">
        <x:v>P&amp;L Activity</x:v>
      </x:c>
      <x:c r="F71" s="400" t="n">
        <x:v>0.0308</x:v>
      </x:c>
      <x:c r="G71" t="str">
        <x:v>Synthetic ERP Export</x:v>
      </x:c>
      <x:c r="H71" t="str">
        <x:v>FY2026_DEMO</x:v>
      </x:c>
      <x:c r="I71" s="392" t="n">
        <x:v>46259.42291666667</x:v>
      </x:c>
      <x:c r="J71" t="str">
        <x:f>IF($B71="","",IF(COUNTIF(Account_Map!$A$6:$A$31,$B71)&gt;0,"Mapped","UNMAPPED"))</x:f>
        <x:v>Mapped</x:v>
      </x:c>
    </x:row>
    <x:row r="72">
      <x:c r="A72" s="290" t="n">
        <x:v>46142</x:v>
      </x:c>
      <x:c r="B72" t="str">
        <x:v>7100</x:v>
      </x:c>
      <x:c r="C72" t="str">
        <x:v>Interest Expense</x:v>
      </x:c>
      <x:c r="D72" t="str">
        <x:v>Corporate</x:v>
      </x:c>
      <x:c r="E72" t="str">
        <x:v>P&amp;L Activity</x:v>
      </x:c>
      <x:c r="F72" s="400" t="n">
        <x:v>0.0231</x:v>
      </x:c>
      <x:c r="G72" t="str">
        <x:v>Synthetic ERP Export</x:v>
      </x:c>
      <x:c r="H72" t="str">
        <x:v>FY2026_DEMO</x:v>
      </x:c>
      <x:c r="I72" s="392" t="n">
        <x:v>46259.42291666667</x:v>
      </x:c>
      <x:c r="J72" t="str">
        <x:f>IF($B72="","",IF(COUNTIF(Account_Map!$A$6:$A$31,$B72)&gt;0,"Mapped","UNMAPPED"))</x:f>
        <x:v>Mapped</x:v>
      </x:c>
    </x:row>
    <x:row r="73">
      <x:c r="A73" s="290" t="n">
        <x:v>46142</x:v>
      </x:c>
      <x:c r="B73" t="str">
        <x:v>7200</x:v>
      </x:c>
      <x:c r="C73" t="str">
        <x:v>Income Taxes</x:v>
      </x:c>
      <x:c r="D73" t="str">
        <x:v>Corporate</x:v>
      </x:c>
      <x:c r="E73" t="str">
        <x:v>P&amp;L Activity</x:v>
      </x:c>
      <x:c r="F73" s="400" t="n">
        <x:v>0.032725</x:v>
      </x:c>
      <x:c r="G73" t="str">
        <x:v>Synthetic ERP Export</x:v>
      </x:c>
      <x:c r="H73" t="str">
        <x:v>FY2026_DEMO</x:v>
      </x:c>
      <x:c r="I73" s="392" t="n">
        <x:v>46259.42291666667</x:v>
      </x:c>
      <x:c r="J73" t="str">
        <x:f>IF($B73="","",IF(COUNTIF(Account_Map!$A$6:$A$31,$B73)&gt;0,"Mapped","UNMAPPED"))</x:f>
        <x:v>Mapped</x:v>
      </x:c>
    </x:row>
    <x:row r="74">
      <x:c r="A74" s="290" t="n">
        <x:v>46173</x:v>
      </x:c>
      <x:c r="B74" t="str">
        <x:v>1000</x:v>
      </x:c>
      <x:c r="C74" t="str">
        <x:v>Cash &amp; Cash Equivalents</x:v>
      </x:c>
      <x:c r="D74" t="str">
        <x:v>Corporate</x:v>
      </x:c>
      <x:c r="E74" t="str">
        <x:v>BS Snapshot</x:v>
      </x:c>
      <x:c r="F74" s="400" t="n">
        <x:v>3.620833</x:v>
      </x:c>
      <x:c r="G74" t="str">
        <x:v>Synthetic ERP Export</x:v>
      </x:c>
      <x:c r="H74" t="str">
        <x:v>FY2026_DEMO</x:v>
      </x:c>
      <x:c r="I74" s="392" t="n">
        <x:v>46259.42291666667</x:v>
      </x:c>
      <x:c r="J74" t="str">
        <x:f>IF($B74="","",IF(COUNTIF(Account_Map!$A$6:$A$31,$B74)&gt;0,"Mapped","UNMAPPED"))</x:f>
        <x:v>Mapped</x:v>
      </x:c>
    </x:row>
    <x:row r="75">
      <x:c r="A75" s="290" t="n">
        <x:v>46173</x:v>
      </x:c>
      <x:c r="B75" t="str">
        <x:v>1100</x:v>
      </x:c>
      <x:c r="C75" t="str">
        <x:v>Accounts Receivable</x:v>
      </x:c>
      <x:c r="D75" t="str">
        <x:v>Corporate</x:v>
      </x:c>
      <x:c r="E75" t="str">
        <x:v>BS Snapshot</x:v>
      </x:c>
      <x:c r="F75" s="400" t="n">
        <x:v>2.252397</x:v>
      </x:c>
      <x:c r="G75" t="str">
        <x:v>Synthetic ERP Export</x:v>
      </x:c>
      <x:c r="H75" t="str">
        <x:v>FY2026_DEMO</x:v>
      </x:c>
      <x:c r="I75" s="392" t="n">
        <x:v>46259.42291666667</x:v>
      </x:c>
      <x:c r="J75" t="str">
        <x:f>IF($B75="","",IF(COUNTIF(Account_Map!$A$6:$A$31,$B75)&gt;0,"Mapped","UNMAPPED"))</x:f>
        <x:v>Mapped</x:v>
      </x:c>
    </x:row>
    <x:row r="76">
      <x:c r="A76" s="290" t="n">
        <x:v>46173</x:v>
      </x:c>
      <x:c r="B76" t="str">
        <x:v>1200</x:v>
      </x:c>
      <x:c r="C76" t="str">
        <x:v>Other Current Assets</x:v>
      </x:c>
      <x:c r="D76" t="str">
        <x:v>Corporate</x:v>
      </x:c>
      <x:c r="E76" t="str">
        <x:v>BS Snapshot</x:v>
      </x:c>
      <x:c r="F76" s="400" t="n">
        <x:v>0.53</x:v>
      </x:c>
      <x:c r="G76" t="str">
        <x:v>Synthetic ERP Export</x:v>
      </x:c>
      <x:c r="H76" t="str">
        <x:v>FY2026_DEMO</x:v>
      </x:c>
      <x:c r="I76" s="392" t="n">
        <x:v>46259.42291666667</x:v>
      </x:c>
      <x:c r="J76" t="str">
        <x:f>IF($B76="","",IF(COUNTIF(Account_Map!$A$6:$A$31,$B76)&gt;0,"Mapped","UNMAPPED"))</x:f>
        <x:v>Mapped</x:v>
      </x:c>
    </x:row>
    <x:row r="77">
      <x:c r="A77" s="290" t="n">
        <x:v>46173</x:v>
      </x:c>
      <x:c r="B77" t="str">
        <x:v>1500</x:v>
      </x:c>
      <x:c r="C77" t="str">
        <x:v>PP&amp;E, Net</x:v>
      </x:c>
      <x:c r="D77" t="str">
        <x:v>Corporate</x:v>
      </x:c>
      <x:c r="E77" t="str">
        <x:v>BS Snapshot</x:v>
      </x:c>
      <x:c r="F77" s="400" t="n">
        <x:v>1.854167</x:v>
      </x:c>
      <x:c r="G77" t="str">
        <x:v>Synthetic ERP Export</x:v>
      </x:c>
      <x:c r="H77" t="str">
        <x:v>FY2026_DEMO</x:v>
      </x:c>
      <x:c r="I77" s="392" t="n">
        <x:v>46259.42291666667</x:v>
      </x:c>
      <x:c r="J77" t="str">
        <x:f>IF($B77="","",IF(COUNTIF(Account_Map!$A$6:$A$31,$B77)&gt;0,"Mapped","UNMAPPED"))</x:f>
        <x:v>Mapped</x:v>
      </x:c>
    </x:row>
    <x:row r="78">
      <x:c r="A78" s="290" t="n">
        <x:v>46173</x:v>
      </x:c>
      <x:c r="B78" t="str">
        <x:v>2000</x:v>
      </x:c>
      <x:c r="C78" t="str">
        <x:v>Accounts Payable</x:v>
      </x:c>
      <x:c r="D78" t="str">
        <x:v>Corporate</x:v>
      </x:c>
      <x:c r="E78" t="str">
        <x:v>BS Snapshot</x:v>
      </x:c>
      <x:c r="F78" s="400" t="n">
        <x:v>-0.369566</x:v>
      </x:c>
      <x:c r="G78" t="str">
        <x:v>Synthetic ERP Export</x:v>
      </x:c>
      <x:c r="H78" t="str">
        <x:v>FY2026_DEMO</x:v>
      </x:c>
      <x:c r="I78" s="392" t="n">
        <x:v>46259.42291666667</x:v>
      </x:c>
      <x:c r="J78" t="str">
        <x:f>IF($B78="","",IF(COUNTIF(Account_Map!$A$6:$A$31,$B78)&gt;0,"Mapped","UNMAPPED"))</x:f>
        <x:v>Mapped</x:v>
      </x:c>
    </x:row>
    <x:row r="79">
      <x:c r="A79" s="290" t="n">
        <x:v>46173</x:v>
      </x:c>
      <x:c r="B79" t="str">
        <x:v>2100</x:v>
      </x:c>
      <x:c r="C79" t="str">
        <x:v>Accrued Expenses</x:v>
      </x:c>
      <x:c r="D79" t="str">
        <x:v>Corporate</x:v>
      </x:c>
      <x:c r="E79" t="str">
        <x:v>BS Snapshot</x:v>
      </x:c>
      <x:c r="F79" s="400" t="n">
        <x:v>-0.9275</x:v>
      </x:c>
      <x:c r="G79" t="str">
        <x:v>Synthetic ERP Export</x:v>
      </x:c>
      <x:c r="H79" t="str">
        <x:v>FY2026_DEMO</x:v>
      </x:c>
      <x:c r="I79" s="392" t="n">
        <x:v>46259.42291666667</x:v>
      </x:c>
      <x:c r="J79" t="str">
        <x:f>IF($B79="","",IF(COUNTIF(Account_Map!$A$6:$A$31,$B79)&gt;0,"Mapped","UNMAPPED"))</x:f>
        <x:v>Mapped</x:v>
      </x:c>
    </x:row>
    <x:row r="80">
      <x:c r="A80" s="290" t="n">
        <x:v>46173</x:v>
      </x:c>
      <x:c r="B80" t="str">
        <x:v>2200</x:v>
      </x:c>
      <x:c r="C80" t="str">
        <x:v>Deferred Revenue</x:v>
      </x:c>
      <x:c r="D80" t="str">
        <x:v>Corporate</x:v>
      </x:c>
      <x:c r="E80" t="str">
        <x:v>BS Snapshot</x:v>
      </x:c>
      <x:c r="F80" s="400" t="n">
        <x:v>-1.825</x:v>
      </x:c>
      <x:c r="G80" t="str">
        <x:v>Synthetic ERP Export</x:v>
      </x:c>
      <x:c r="H80" t="str">
        <x:v>FY2026_DEMO</x:v>
      </x:c>
      <x:c r="I80" s="392" t="n">
        <x:v>46259.42291666667</x:v>
      </x:c>
      <x:c r="J80" t="str">
        <x:f>IF($B80="","",IF(COUNTIF(Account_Map!$A$6:$A$31,$B80)&gt;0,"Mapped","UNMAPPED"))</x:f>
        <x:v>Mapped</x:v>
      </x:c>
    </x:row>
    <x:row r="81">
      <x:c r="A81" s="290" t="n">
        <x:v>46173</x:v>
      </x:c>
      <x:c r="B81" t="str">
        <x:v>2500</x:v>
      </x:c>
      <x:c r="C81" t="str">
        <x:v>Debt</x:v>
      </x:c>
      <x:c r="D81" t="str">
        <x:v>Corporate</x:v>
      </x:c>
      <x:c r="E81" t="str">
        <x:v>BS Snapshot</x:v>
      </x:c>
      <x:c r="F81" s="400" t="n">
        <x:v>-2.733333</x:v>
      </x:c>
      <x:c r="G81" t="str">
        <x:v>Synthetic ERP Export</x:v>
      </x:c>
      <x:c r="H81" t="str">
        <x:v>FY2026_DEMO</x:v>
      </x:c>
      <x:c r="I81" s="392" t="n">
        <x:v>46259.42291666667</x:v>
      </x:c>
      <x:c r="J81" t="str">
        <x:f>IF($B81="","",IF(COUNTIF(Account_Map!$A$6:$A$31,$B81)&gt;0,"Mapped","UNMAPPED"))</x:f>
        <x:v>Mapped</x:v>
      </x:c>
    </x:row>
    <x:row r="82">
      <x:c r="A82" s="290" t="n">
        <x:v>46173</x:v>
      </x:c>
      <x:c r="B82" t="str">
        <x:v>3000</x:v>
      </x:c>
      <x:c r="C82" t="str">
        <x:v>Equity</x:v>
      </x:c>
      <x:c r="D82" t="str">
        <x:v>Corporate</x:v>
      </x:c>
      <x:c r="E82" t="str">
        <x:v>BS Snapshot</x:v>
      </x:c>
      <x:c r="F82" s="400" t="n">
        <x:v>-2.477831</x:v>
      </x:c>
      <x:c r="G82" t="str">
        <x:v>Synthetic ERP Export</x:v>
      </x:c>
      <x:c r="H82" t="str">
        <x:v>FY2026_DEMO</x:v>
      </x:c>
      <x:c r="I82" s="392" t="n">
        <x:v>46259.42291666667</x:v>
      </x:c>
      <x:c r="J82" t="str">
        <x:f>IF($B82="","",IF(COUNTIF(Account_Map!$A$6:$A$31,$B82)&gt;0,"Mapped","UNMAPPED"))</x:f>
        <x:v>Mapped</x:v>
      </x:c>
    </x:row>
    <x:row r="83">
      <x:c r="A83" s="290" t="n">
        <x:v>46173</x:v>
      </x:c>
      <x:c r="B83" t="str">
        <x:v>4000</x:v>
      </x:c>
      <x:c r="C83" t="str">
        <x:v>Subscription Revenue</x:v>
      </x:c>
      <x:c r="D83" t="str">
        <x:v>Sales</x:v>
      </x:c>
      <x:c r="E83" t="str">
        <x:v>P&amp;L Activity</x:v>
      </x:c>
      <x:c r="F83" s="400" t="n">
        <x:v>-1.58</x:v>
      </x:c>
      <x:c r="G83" t="str">
        <x:v>Synthetic ERP Export</x:v>
      </x:c>
      <x:c r="H83" t="str">
        <x:v>FY2026_DEMO</x:v>
      </x:c>
      <x:c r="I83" s="392" t="n">
        <x:v>46259.42291666667</x:v>
      </x:c>
      <x:c r="J83" t="str">
        <x:f>IF($B83="","",IF(COUNTIF(Account_Map!$A$6:$A$31,$B83)&gt;0,"Mapped","UNMAPPED"))</x:f>
        <x:v>Mapped</x:v>
      </x:c>
    </x:row>
    <x:row r="84">
      <x:c r="A84" s="290" t="n">
        <x:v>46173</x:v>
      </x:c>
      <x:c r="B84" t="str">
        <x:v>5000</x:v>
      </x:c>
      <x:c r="C84" t="str">
        <x:v>Hosting &amp; Service Delivery</x:v>
      </x:c>
      <x:c r="D84" t="str">
        <x:v>Operations</x:v>
      </x:c>
      <x:c r="E84" t="str">
        <x:v>P&amp;L Activity</x:v>
      </x:c>
      <x:c r="F84" s="400" t="n">
        <x:v>0.395</x:v>
      </x:c>
      <x:c r="G84" t="str">
        <x:v>Synthetic ERP Export</x:v>
      </x:c>
      <x:c r="H84" t="str">
        <x:v>FY2026_DEMO</x:v>
      </x:c>
      <x:c r="I84" s="392" t="n">
        <x:v>46259.42291666667</x:v>
      </x:c>
      <x:c r="J84" t="str">
        <x:f>IF($B84="","",IF(COUNTIF(Account_Map!$A$6:$A$31,$B84)&gt;0,"Mapped","UNMAPPED"))</x:f>
        <x:v>Mapped</x:v>
      </x:c>
    </x:row>
    <x:row r="85">
      <x:c r="A85" s="290" t="n">
        <x:v>46173</x:v>
      </x:c>
      <x:c r="B85" t="str">
        <x:v>6100</x:v>
      </x:c>
      <x:c r="C85" t="str">
        <x:v>Sales &amp; Marketing</x:v>
      </x:c>
      <x:c r="D85" t="str">
        <x:v>Sales &amp; Marketing</x:v>
      </x:c>
      <x:c r="E85" t="str">
        <x:v>P&amp;L Activity</x:v>
      </x:c>
      <x:c r="F85" s="400" t="n">
        <x:v>0.474</x:v>
      </x:c>
      <x:c r="G85" t="str">
        <x:v>Synthetic ERP Export</x:v>
      </x:c>
      <x:c r="H85" t="str">
        <x:v>FY2026_DEMO</x:v>
      </x:c>
      <x:c r="I85" s="392" t="n">
        <x:v>46259.42291666667</x:v>
      </x:c>
      <x:c r="J85" t="str">
        <x:f>IF($B85="","",IF(COUNTIF(Account_Map!$A$6:$A$31,$B85)&gt;0,"Mapped","UNMAPPED"))</x:f>
        <x:v>Mapped</x:v>
      </x:c>
    </x:row>
    <x:row r="86">
      <x:c r="A86" s="290" t="n">
        <x:v>46173</x:v>
      </x:c>
      <x:c r="B86" t="str">
        <x:v>6200</x:v>
      </x:c>
      <x:c r="C86" t="str">
        <x:v>Research &amp; Development</x:v>
      </x:c>
      <x:c r="D86" t="str">
        <x:v>Product &amp; Engineering</x:v>
      </x:c>
      <x:c r="E86" t="str">
        <x:v>P&amp;L Activity</x:v>
      </x:c>
      <x:c r="F86" s="400" t="n">
        <x:v>0.2844</x:v>
      </x:c>
      <x:c r="G86" t="str">
        <x:v>Synthetic ERP Export</x:v>
      </x:c>
      <x:c r="H86" t="str">
        <x:v>FY2026_DEMO</x:v>
      </x:c>
      <x:c r="I86" s="392" t="n">
        <x:v>46259.42291666667</x:v>
      </x:c>
      <x:c r="J86" t="str">
        <x:f>IF($B86="","",IF(COUNTIF(Account_Map!$A$6:$A$31,$B86)&gt;0,"Mapped","UNMAPPED"))</x:f>
        <x:v>Mapped</x:v>
      </x:c>
    </x:row>
    <x:row r="87">
      <x:c r="A87" s="290" t="n">
        <x:v>46173</x:v>
      </x:c>
      <x:c r="B87" t="str">
        <x:v>6300</x:v>
      </x:c>
      <x:c r="C87" t="str">
        <x:v>General &amp; Administrative</x:v>
      </x:c>
      <x:c r="D87" t="str">
        <x:v>Corporate</x:v>
      </x:c>
      <x:c r="E87" t="str">
        <x:v>P&amp;L Activity</x:v>
      </x:c>
      <x:c r="F87" s="400" t="n">
        <x:v>0.237</x:v>
      </x:c>
      <x:c r="G87" t="str">
        <x:v>Synthetic ERP Export</x:v>
      </x:c>
      <x:c r="H87" t="str">
        <x:v>FY2026_DEMO</x:v>
      </x:c>
      <x:c r="I87" s="392" t="n">
        <x:v>46259.42291666667</x:v>
      </x:c>
      <x:c r="J87" t="str">
        <x:f>IF($B87="","",IF(COUNTIF(Account_Map!$A$6:$A$31,$B87)&gt;0,"Mapped","UNMAPPED"))</x:f>
        <x:v>Mapped</x:v>
      </x:c>
    </x:row>
    <x:row r="88">
      <x:c r="A88" s="290" t="n">
        <x:v>46173</x:v>
      </x:c>
      <x:c r="B88" t="str">
        <x:v>7000</x:v>
      </x:c>
      <x:c r="C88" t="str">
        <x:v>Depreciation &amp; Amortization</x:v>
      </x:c>
      <x:c r="D88" t="str">
        <x:v>Corporate</x:v>
      </x:c>
      <x:c r="E88" t="str">
        <x:v>P&amp;L Activity</x:v>
      </x:c>
      <x:c r="F88" s="400" t="n">
        <x:v>0.0316</x:v>
      </x:c>
      <x:c r="G88" t="str">
        <x:v>Synthetic ERP Export</x:v>
      </x:c>
      <x:c r="H88" t="str">
        <x:v>FY2026_DEMO</x:v>
      </x:c>
      <x:c r="I88" s="392" t="n">
        <x:v>46259.42291666667</x:v>
      </x:c>
      <x:c r="J88" t="str">
        <x:f>IF($B88="","",IF(COUNTIF(Account_Map!$A$6:$A$31,$B88)&gt;0,"Mapped","UNMAPPED"))</x:f>
        <x:v>Mapped</x:v>
      </x:c>
    </x:row>
    <x:row r="89">
      <x:c r="A89" s="290" t="n">
        <x:v>46173</x:v>
      </x:c>
      <x:c r="B89" t="str">
        <x:v>7100</x:v>
      </x:c>
      <x:c r="C89" t="str">
        <x:v>Interest Expense</x:v>
      </x:c>
      <x:c r="D89" t="str">
        <x:v>Corporate</x:v>
      </x:c>
      <x:c r="E89" t="str">
        <x:v>P&amp;L Activity</x:v>
      </x:c>
      <x:c r="F89" s="400" t="n">
        <x:v>0.0237</x:v>
      </x:c>
      <x:c r="G89" t="str">
        <x:v>Synthetic ERP Export</x:v>
      </x:c>
      <x:c r="H89" t="str">
        <x:v>FY2026_DEMO</x:v>
      </x:c>
      <x:c r="I89" s="392" t="n">
        <x:v>46259.42291666667</x:v>
      </x:c>
      <x:c r="J89" t="str">
        <x:f>IF($B89="","",IF(COUNTIF(Account_Map!$A$6:$A$31,$B89)&gt;0,"Mapped","UNMAPPED"))</x:f>
        <x:v>Mapped</x:v>
      </x:c>
    </x:row>
    <x:row r="90">
      <x:c r="A90" s="290" t="n">
        <x:v>46173</x:v>
      </x:c>
      <x:c r="B90" t="str">
        <x:v>7200</x:v>
      </x:c>
      <x:c r="C90" t="str">
        <x:v>Income Taxes</x:v>
      </x:c>
      <x:c r="D90" t="str">
        <x:v>Corporate</x:v>
      </x:c>
      <x:c r="E90" t="str">
        <x:v>P&amp;L Activity</x:v>
      </x:c>
      <x:c r="F90" s="400" t="n">
        <x:v>0.033575</x:v>
      </x:c>
      <x:c r="G90" t="str">
        <x:v>Synthetic ERP Export</x:v>
      </x:c>
      <x:c r="H90" t="str">
        <x:v>FY2026_DEMO</x:v>
      </x:c>
      <x:c r="I90" s="392" t="n">
        <x:v>46259.42291666667</x:v>
      </x:c>
      <x:c r="J90" t="str">
        <x:f>IF($B90="","",IF(COUNTIF(Account_Map!$A$6:$A$31,$B90)&gt;0,"Mapped","UNMAPPED"))</x:f>
        <x:v>Mapped</x:v>
      </x:c>
    </x:row>
    <x:row r="91">
      <x:c r="A91" s="290" t="n">
        <x:v>46203</x:v>
      </x:c>
      <x:c r="B91" t="str">
        <x:v>1000</x:v>
      </x:c>
      <x:c r="C91" t="str">
        <x:v>Cash &amp; Cash Equivalents</x:v>
      </x:c>
      <x:c r="D91" t="str">
        <x:v>Corporate</x:v>
      </x:c>
      <x:c r="E91" t="str">
        <x:v>BS Snapshot</x:v>
      </x:c>
      <x:c r="F91" s="400" t="n">
        <x:v>3.675</x:v>
      </x:c>
      <x:c r="G91" t="str">
        <x:v>Synthetic ERP Export</x:v>
      </x:c>
      <x:c r="H91" t="str">
        <x:v>FY2026_DEMO</x:v>
      </x:c>
      <x:c r="I91" s="392" t="n">
        <x:v>46259.42291666667</x:v>
      </x:c>
      <x:c r="J91" t="str">
        <x:f>IF($B91="","",IF(COUNTIF(Account_Map!$A$6:$A$31,$B91)&gt;0,"Mapped","UNMAPPED"))</x:f>
        <x:v>Mapped</x:v>
      </x:c>
    </x:row>
    <x:row r="92">
      <x:c r="A92" s="290" t="n">
        <x:v>46203</x:v>
      </x:c>
      <x:c r="B92" t="str">
        <x:v>1100</x:v>
      </x:c>
      <x:c r="C92" t="str">
        <x:v>Accounts Receivable</x:v>
      </x:c>
      <x:c r="D92" t="str">
        <x:v>Corporate</x:v>
      </x:c>
      <x:c r="E92" t="str">
        <x:v>BS Snapshot</x:v>
      </x:c>
      <x:c r="F92" s="400" t="n">
        <x:v>2.282877</x:v>
      </x:c>
      <x:c r="G92" t="str">
        <x:v>Synthetic ERP Export</x:v>
      </x:c>
      <x:c r="H92" t="str">
        <x:v>FY2026_DEMO</x:v>
      </x:c>
      <x:c r="I92" s="392" t="n">
        <x:v>46259.42291666667</x:v>
      </x:c>
      <x:c r="J92" t="str">
        <x:f>IF($B92="","",IF(COUNTIF(Account_Map!$A$6:$A$31,$B92)&gt;0,"Mapped","UNMAPPED"))</x:f>
        <x:v>Mapped</x:v>
      </x:c>
    </x:row>
    <x:row r="93">
      <x:c r="A93" s="290" t="n">
        <x:v>46203</x:v>
      </x:c>
      <x:c r="B93" t="str">
        <x:v>1200</x:v>
      </x:c>
      <x:c r="C93" t="str">
        <x:v>Other Current Assets</x:v>
      </x:c>
      <x:c r="D93" t="str">
        <x:v>Corporate</x:v>
      </x:c>
      <x:c r="E93" t="str">
        <x:v>BS Snapshot</x:v>
      </x:c>
      <x:c r="F93" s="400" t="n">
        <x:v>0.54</x:v>
      </x:c>
      <x:c r="G93" t="str">
        <x:v>Synthetic ERP Export</x:v>
      </x:c>
      <x:c r="H93" t="str">
        <x:v>FY2026_DEMO</x:v>
      </x:c>
      <x:c r="I93" s="392" t="n">
        <x:v>46259.42291666667</x:v>
      </x:c>
      <x:c r="J93" t="str">
        <x:f>IF($B93="","",IF(COUNTIF(Account_Map!$A$6:$A$31,$B93)&gt;0,"Mapped","UNMAPPED"))</x:f>
        <x:v>Mapped</x:v>
      </x:c>
    </x:row>
    <x:row r="94">
      <x:c r="A94" s="290" t="n">
        <x:v>46203</x:v>
      </x:c>
      <x:c r="B94" t="str">
        <x:v>1500</x:v>
      </x:c>
      <x:c r="C94" t="str">
        <x:v>PP&amp;E, Net</x:v>
      </x:c>
      <x:c r="D94" t="str">
        <x:v>Corporate</x:v>
      </x:c>
      <x:c r="E94" t="str">
        <x:v>BS Snapshot</x:v>
      </x:c>
      <x:c r="F94" s="400" t="n">
        <x:v>1.875</x:v>
      </x:c>
      <x:c r="G94" t="str">
        <x:v>Synthetic ERP Export</x:v>
      </x:c>
      <x:c r="H94" t="str">
        <x:v>FY2026_DEMO</x:v>
      </x:c>
      <x:c r="I94" s="392" t="n">
        <x:v>46259.42291666667</x:v>
      </x:c>
      <x:c r="J94" t="str">
        <x:f>IF($B94="","",IF(COUNTIF(Account_Map!$A$6:$A$31,$B94)&gt;0,"Mapped","UNMAPPED"))</x:f>
        <x:v>Mapped</x:v>
      </x:c>
    </x:row>
    <x:row r="95">
      <x:c r="A95" s="290" t="n">
        <x:v>46203</x:v>
      </x:c>
      <x:c r="B95" t="str">
        <x:v>2000</x:v>
      </x:c>
      <x:c r="C95" t="str">
        <x:v>Accounts Payable</x:v>
      </x:c>
      <x:c r="D95" t="str">
        <x:v>Corporate</x:v>
      </x:c>
      <x:c r="E95" t="str">
        <x:v>BS Snapshot</x:v>
      </x:c>
      <x:c r="F95" s="400" t="n">
        <x:v>-0.375479</x:v>
      </x:c>
      <x:c r="G95" t="str">
        <x:v>Synthetic ERP Export</x:v>
      </x:c>
      <x:c r="H95" t="str">
        <x:v>FY2026_DEMO</x:v>
      </x:c>
      <x:c r="I95" s="392" t="n">
        <x:v>46259.42291666667</x:v>
      </x:c>
      <x:c r="J95" t="str">
        <x:f>IF($B95="","",IF(COUNTIF(Account_Map!$A$6:$A$31,$B95)&gt;0,"Mapped","UNMAPPED"))</x:f>
        <x:v>Mapped</x:v>
      </x:c>
    </x:row>
    <x:row r="96">
      <x:c r="A96" s="290" t="n">
        <x:v>46203</x:v>
      </x:c>
      <x:c r="B96" t="str">
        <x:v>2100</x:v>
      </x:c>
      <x:c r="C96" t="str">
        <x:v>Accrued Expenses</x:v>
      </x:c>
      <x:c r="D96" t="str">
        <x:v>Corporate</x:v>
      </x:c>
      <x:c r="E96" t="str">
        <x:v>BS Snapshot</x:v>
      </x:c>
      <x:c r="F96" s="400" t="n">
        <x:v>-0.939</x:v>
      </x:c>
      <x:c r="G96" t="str">
        <x:v>Synthetic ERP Export</x:v>
      </x:c>
      <x:c r="H96" t="str">
        <x:v>FY2026_DEMO</x:v>
      </x:c>
      <x:c r="I96" s="392" t="n">
        <x:v>46259.42291666667</x:v>
      </x:c>
      <x:c r="J96" t="str">
        <x:f>IF($B96="","",IF(COUNTIF(Account_Map!$A$6:$A$31,$B96)&gt;0,"Mapped","UNMAPPED"))</x:f>
        <x:v>Mapped</x:v>
      </x:c>
    </x:row>
    <x:row r="97">
      <x:c r="A97" s="290" t="n">
        <x:v>46203</x:v>
      </x:c>
      <x:c r="B97" t="str">
        <x:v>2200</x:v>
      </x:c>
      <x:c r="C97" t="str">
        <x:v>Deferred Revenue</x:v>
      </x:c>
      <x:c r="D97" t="str">
        <x:v>Corporate</x:v>
      </x:c>
      <x:c r="E97" t="str">
        <x:v>BS Snapshot</x:v>
      </x:c>
      <x:c r="F97" s="400" t="n">
        <x:v>-1.85</x:v>
      </x:c>
      <x:c r="G97" t="str">
        <x:v>Synthetic ERP Export</x:v>
      </x:c>
      <x:c r="H97" t="str">
        <x:v>FY2026_DEMO</x:v>
      </x:c>
      <x:c r="I97" s="392" t="n">
        <x:v>46259.42291666667</x:v>
      </x:c>
      <x:c r="J97" t="str">
        <x:f>IF($B97="","",IF(COUNTIF(Account_Map!$A$6:$A$31,$B97)&gt;0,"Mapped","UNMAPPED"))</x:f>
        <x:v>Mapped</x:v>
      </x:c>
    </x:row>
    <x:row r="98">
      <x:c r="A98" s="290" t="n">
        <x:v>46203</x:v>
      </x:c>
      <x:c r="B98" t="str">
        <x:v>2500</x:v>
      </x:c>
      <x:c r="C98" t="str">
        <x:v>Debt</x:v>
      </x:c>
      <x:c r="D98" t="str">
        <x:v>Corporate</x:v>
      </x:c>
      <x:c r="E98" t="str">
        <x:v>BS Snapshot</x:v>
      </x:c>
      <x:c r="F98" s="400" t="n">
        <x:v>-2.7</x:v>
      </x:c>
      <x:c r="G98" t="str">
        <x:v>Synthetic ERP Export</x:v>
      </x:c>
      <x:c r="H98" t="str">
        <x:v>FY2026_DEMO</x:v>
      </x:c>
      <x:c r="I98" s="392" t="n">
        <x:v>46259.42291666667</x:v>
      </x:c>
      <x:c r="J98" t="str">
        <x:f>IF($B98="","",IF(COUNTIF(Account_Map!$A$6:$A$31,$B98)&gt;0,"Mapped","UNMAPPED"))</x:f>
        <x:v>Mapped</x:v>
      </x:c>
    </x:row>
    <x:row r="99">
      <x:c r="A99" s="290" t="n">
        <x:v>46203</x:v>
      </x:c>
      <x:c r="B99" t="str">
        <x:v>3000</x:v>
      </x:c>
      <x:c r="C99" t="str">
        <x:v>Equity</x:v>
      </x:c>
      <x:c r="D99" t="str">
        <x:v>Corporate</x:v>
      </x:c>
      <x:c r="E99" t="str">
        <x:v>BS Snapshot</x:v>
      </x:c>
      <x:c r="F99" s="400" t="n">
        <x:v>-2.573397</x:v>
      </x:c>
      <x:c r="G99" t="str">
        <x:v>Synthetic ERP Export</x:v>
      </x:c>
      <x:c r="H99" t="str">
        <x:v>FY2026_DEMO</x:v>
      </x:c>
      <x:c r="I99" s="392" t="n">
        <x:v>46259.42291666667</x:v>
      </x:c>
      <x:c r="J99" t="str">
        <x:f>IF($B99="","",IF(COUNTIF(Account_Map!$A$6:$A$31,$B99)&gt;0,"Mapped","UNMAPPED"))</x:f>
        <x:v>Mapped</x:v>
      </x:c>
    </x:row>
    <x:row r="100">
      <x:c r="A100" s="290" t="n">
        <x:v>46203</x:v>
      </x:c>
      <x:c r="B100" t="str">
        <x:v>4000</x:v>
      </x:c>
      <x:c r="C100" t="str">
        <x:v>Subscription Revenue</x:v>
      </x:c>
      <x:c r="D100" t="str">
        <x:v>Sales</x:v>
      </x:c>
      <x:c r="E100" t="str">
        <x:v>P&amp;L Activity</x:v>
      </x:c>
      <x:c r="F100" s="400" t="n">
        <x:v>-1.62</x:v>
      </x:c>
      <x:c r="G100" t="str">
        <x:v>Synthetic ERP Export</x:v>
      </x:c>
      <x:c r="H100" t="str">
        <x:v>FY2026_DEMO</x:v>
      </x:c>
      <x:c r="I100" s="392" t="n">
        <x:v>46259.42291666667</x:v>
      </x:c>
      <x:c r="J100" t="str">
        <x:f>IF($B100="","",IF(COUNTIF(Account_Map!$A$6:$A$31,$B100)&gt;0,"Mapped","UNMAPPED"))</x:f>
        <x:v>Mapped</x:v>
      </x:c>
    </x:row>
    <x:row r="101">
      <x:c r="A101" s="290" t="n">
        <x:v>46203</x:v>
      </x:c>
      <x:c r="B101" t="str">
        <x:v>5000</x:v>
      </x:c>
      <x:c r="C101" t="str">
        <x:v>Hosting &amp; Service Delivery</x:v>
      </x:c>
      <x:c r="D101" t="str">
        <x:v>Operations</x:v>
      </x:c>
      <x:c r="E101" t="str">
        <x:v>P&amp;L Activity</x:v>
      </x:c>
      <x:c r="F101" s="400" t="n">
        <x:v>0.405</x:v>
      </x:c>
      <x:c r="G101" t="str">
        <x:v>Synthetic ERP Export</x:v>
      </x:c>
      <x:c r="H101" t="str">
        <x:v>FY2026_DEMO</x:v>
      </x:c>
      <x:c r="I101" s="392" t="n">
        <x:v>46259.42291666667</x:v>
      </x:c>
      <x:c r="J101" t="str">
        <x:f>IF($B101="","",IF(COUNTIF(Account_Map!$A$6:$A$31,$B101)&gt;0,"Mapped","UNMAPPED"))</x:f>
        <x:v>Mapped</x:v>
      </x:c>
    </x:row>
    <x:row r="102">
      <x:c r="A102" s="290" t="n">
        <x:v>46203</x:v>
      </x:c>
      <x:c r="B102" t="str">
        <x:v>6100</x:v>
      </x:c>
      <x:c r="C102" t="str">
        <x:v>Sales &amp; Marketing</x:v>
      </x:c>
      <x:c r="D102" t="str">
        <x:v>Sales &amp; Marketing</x:v>
      </x:c>
      <x:c r="E102" t="str">
        <x:v>P&amp;L Activity</x:v>
      </x:c>
      <x:c r="F102" s="400" t="n">
        <x:v>0.486</x:v>
      </x:c>
      <x:c r="G102" t="str">
        <x:v>Synthetic ERP Export</x:v>
      </x:c>
      <x:c r="H102" t="str">
        <x:v>FY2026_DEMO</x:v>
      </x:c>
      <x:c r="I102" s="392" t="n">
        <x:v>46259.42291666667</x:v>
      </x:c>
      <x:c r="J102" t="str">
        <x:f>IF($B102="","",IF(COUNTIF(Account_Map!$A$6:$A$31,$B102)&gt;0,"Mapped","UNMAPPED"))</x:f>
        <x:v>Mapped</x:v>
      </x:c>
    </x:row>
    <x:row r="103">
      <x:c r="A103" s="290" t="n">
        <x:v>46203</x:v>
      </x:c>
      <x:c r="B103" t="str">
        <x:v>6200</x:v>
      </x:c>
      <x:c r="C103" t="str">
        <x:v>Research &amp; Development</x:v>
      </x:c>
      <x:c r="D103" t="str">
        <x:v>Product &amp; Engineering</x:v>
      </x:c>
      <x:c r="E103" t="str">
        <x:v>P&amp;L Activity</x:v>
      </x:c>
      <x:c r="F103" s="400" t="n">
        <x:v>0.2916</x:v>
      </x:c>
      <x:c r="G103" t="str">
        <x:v>Synthetic ERP Export</x:v>
      </x:c>
      <x:c r="H103" t="str">
        <x:v>FY2026_DEMO</x:v>
      </x:c>
      <x:c r="I103" s="392" t="n">
        <x:v>46259.42291666667</x:v>
      </x:c>
      <x:c r="J103" t="str">
        <x:f>IF($B103="","",IF(COUNTIF(Account_Map!$A$6:$A$31,$B103)&gt;0,"Mapped","UNMAPPED"))</x:f>
        <x:v>Mapped</x:v>
      </x:c>
    </x:row>
    <x:row r="104">
      <x:c r="A104" s="290" t="n">
        <x:v>46203</x:v>
      </x:c>
      <x:c r="B104" t="str">
        <x:v>6300</x:v>
      </x:c>
      <x:c r="C104" t="str">
        <x:v>General &amp; Administrative</x:v>
      </x:c>
      <x:c r="D104" t="str">
        <x:v>Corporate</x:v>
      </x:c>
      <x:c r="E104" t="str">
        <x:v>P&amp;L Activity</x:v>
      </x:c>
      <x:c r="F104" s="400" t="n">
        <x:v>0.243</x:v>
      </x:c>
      <x:c r="G104" t="str">
        <x:v>Synthetic ERP Export</x:v>
      </x:c>
      <x:c r="H104" t="str">
        <x:v>FY2026_DEMO</x:v>
      </x:c>
      <x:c r="I104" s="392" t="n">
        <x:v>46259.42291666667</x:v>
      </x:c>
      <x:c r="J104" t="str">
        <x:f>IF($B104="","",IF(COUNTIF(Account_Map!$A$6:$A$31,$B104)&gt;0,"Mapped","UNMAPPED"))</x:f>
        <x:v>Mapped</x:v>
      </x:c>
    </x:row>
    <x:row r="105">
      <x:c r="A105" s="290" t="n">
        <x:v>46203</x:v>
      </x:c>
      <x:c r="B105" t="str">
        <x:v>7000</x:v>
      </x:c>
      <x:c r="C105" t="str">
        <x:v>Depreciation &amp; Amortization</x:v>
      </x:c>
      <x:c r="D105" t="str">
        <x:v>Corporate</x:v>
      </x:c>
      <x:c r="E105" t="str">
        <x:v>P&amp;L Activity</x:v>
      </x:c>
      <x:c r="F105" s="400" t="n">
        <x:v>0.0324</x:v>
      </x:c>
      <x:c r="G105" t="str">
        <x:v>Synthetic ERP Export</x:v>
      </x:c>
      <x:c r="H105" t="str">
        <x:v>FY2026_DEMO</x:v>
      </x:c>
      <x:c r="I105" s="392" t="n">
        <x:v>46259.42291666667</x:v>
      </x:c>
      <x:c r="J105" t="str">
        <x:f>IF($B105="","",IF(COUNTIF(Account_Map!$A$6:$A$31,$B105)&gt;0,"Mapped","UNMAPPED"))</x:f>
        <x:v>Mapped</x:v>
      </x:c>
    </x:row>
    <x:row r="106">
      <x:c r="A106" s="290" t="n">
        <x:v>46203</x:v>
      </x:c>
      <x:c r="B106" t="str">
        <x:v>7100</x:v>
      </x:c>
      <x:c r="C106" t="str">
        <x:v>Interest Expense</x:v>
      </x:c>
      <x:c r="D106" t="str">
        <x:v>Corporate</x:v>
      </x:c>
      <x:c r="E106" t="str">
        <x:v>P&amp;L Activity</x:v>
      </x:c>
      <x:c r="F106" s="400" t="n">
        <x:v>0.0243</x:v>
      </x:c>
      <x:c r="G106" t="str">
        <x:v>Synthetic ERP Export</x:v>
      </x:c>
      <x:c r="H106" t="str">
        <x:v>FY2026_DEMO</x:v>
      </x:c>
      <x:c r="I106" s="392" t="n">
        <x:v>46259.42291666667</x:v>
      </x:c>
      <x:c r="J106" t="str">
        <x:f>IF($B106="","",IF(COUNTIF(Account_Map!$A$6:$A$31,$B106)&gt;0,"Mapped","UNMAPPED"))</x:f>
        <x:v>Mapped</x:v>
      </x:c>
    </x:row>
    <x:row r="107">
      <x:c r="A107" s="290" t="n">
        <x:v>46203</x:v>
      </x:c>
      <x:c r="B107" t="str">
        <x:v>7200</x:v>
      </x:c>
      <x:c r="C107" t="str">
        <x:v>Income Taxes</x:v>
      </x:c>
      <x:c r="D107" t="str">
        <x:v>Corporate</x:v>
      </x:c>
      <x:c r="E107" t="str">
        <x:v>P&amp;L Activity</x:v>
      </x:c>
      <x:c r="F107" s="400" t="n">
        <x:v>0.034425</x:v>
      </x:c>
      <x:c r="G107" t="str">
        <x:v>Synthetic ERP Export</x:v>
      </x:c>
      <x:c r="H107" t="str">
        <x:v>FY2026_DEMO</x:v>
      </x:c>
      <x:c r="I107" s="392" t="n">
        <x:v>46259.42291666667</x:v>
      </x:c>
      <x:c r="J107" t="str">
        <x:f>IF($B107="","",IF(COUNTIF(Account_Map!$A$6:$A$31,$B107)&gt;0,"Mapped","UNMAPPED"))</x:f>
        <x:v>Mapped</x:v>
      </x:c>
    </x:row>
    <x:row r="108">
      <x:c r="A108" s="290" t="n">
        <x:v>46234</x:v>
      </x:c>
      <x:c r="B108" t="str">
        <x:v>1000</x:v>
      </x:c>
      <x:c r="C108" t="str">
        <x:v>Cash &amp; Cash Equivalents</x:v>
      </x:c>
      <x:c r="D108" t="str">
        <x:v>Corporate</x:v>
      </x:c>
      <x:c r="E108" t="str">
        <x:v>BS Snapshot</x:v>
      </x:c>
      <x:c r="F108" s="400" t="n">
        <x:v>3.729167</x:v>
      </x:c>
      <x:c r="G108" t="str">
        <x:v>Synthetic ERP Export</x:v>
      </x:c>
      <x:c r="H108" t="str">
        <x:v>FY2026_DEMO</x:v>
      </x:c>
      <x:c r="I108" s="392" t="n">
        <x:v>46259.42291666667</x:v>
      </x:c>
      <x:c r="J108" t="str">
        <x:f>IF($B108="","",IF(COUNTIF(Account_Map!$A$6:$A$31,$B108)&gt;0,"Mapped","UNMAPPED"))</x:f>
        <x:v>Mapped</x:v>
      </x:c>
    </x:row>
    <x:row r="109">
      <x:c r="A109" s="290" t="n">
        <x:v>46234</x:v>
      </x:c>
      <x:c r="B109" t="str">
        <x:v>1100</x:v>
      </x:c>
      <x:c r="C109" t="str">
        <x:v>Accounts Receivable</x:v>
      </x:c>
      <x:c r="D109" t="str">
        <x:v>Corporate</x:v>
      </x:c>
      <x:c r="E109" t="str">
        <x:v>BS Snapshot</x:v>
      </x:c>
      <x:c r="F109" s="400" t="n">
        <x:v>2.313356</x:v>
      </x:c>
      <x:c r="G109" t="str">
        <x:v>Synthetic ERP Export</x:v>
      </x:c>
      <x:c r="H109" t="str">
        <x:v>FY2026_DEMO</x:v>
      </x:c>
      <x:c r="I109" s="392" t="n">
        <x:v>46259.42291666667</x:v>
      </x:c>
      <x:c r="J109" t="str">
        <x:f>IF($B109="","",IF(COUNTIF(Account_Map!$A$6:$A$31,$B109)&gt;0,"Mapped","UNMAPPED"))</x:f>
        <x:v>Mapped</x:v>
      </x:c>
    </x:row>
    <x:row r="110">
      <x:c r="A110" s="290" t="n">
        <x:v>46234</x:v>
      </x:c>
      <x:c r="B110" t="str">
        <x:v>1200</x:v>
      </x:c>
      <x:c r="C110" t="str">
        <x:v>Other Current Assets</x:v>
      </x:c>
      <x:c r="D110" t="str">
        <x:v>Corporate</x:v>
      </x:c>
      <x:c r="E110" t="str">
        <x:v>BS Snapshot</x:v>
      </x:c>
      <x:c r="F110" s="400" t="n">
        <x:v>0.55</x:v>
      </x:c>
      <x:c r="G110" t="str">
        <x:v>Synthetic ERP Export</x:v>
      </x:c>
      <x:c r="H110" t="str">
        <x:v>FY2026_DEMO</x:v>
      </x:c>
      <x:c r="I110" s="392" t="n">
        <x:v>46259.42291666667</x:v>
      </x:c>
      <x:c r="J110" t="str">
        <x:f>IF($B110="","",IF(COUNTIF(Account_Map!$A$6:$A$31,$B110)&gt;0,"Mapped","UNMAPPED"))</x:f>
        <x:v>Mapped</x:v>
      </x:c>
    </x:row>
    <x:row r="111">
      <x:c r="A111" s="290" t="n">
        <x:v>46234</x:v>
      </x:c>
      <x:c r="B111" t="str">
        <x:v>1500</x:v>
      </x:c>
      <x:c r="C111" t="str">
        <x:v>PP&amp;E, Net</x:v>
      </x:c>
      <x:c r="D111" t="str">
        <x:v>Corporate</x:v>
      </x:c>
      <x:c r="E111" t="str">
        <x:v>BS Snapshot</x:v>
      </x:c>
      <x:c r="F111" s="400" t="n">
        <x:v>1.895833</x:v>
      </x:c>
      <x:c r="G111" t="str">
        <x:v>Synthetic ERP Export</x:v>
      </x:c>
      <x:c r="H111" t="str">
        <x:v>FY2026_DEMO</x:v>
      </x:c>
      <x:c r="I111" s="392" t="n">
        <x:v>46259.42291666667</x:v>
      </x:c>
      <x:c r="J111" t="str">
        <x:f>IF($B111="","",IF(COUNTIF(Account_Map!$A$6:$A$31,$B111)&gt;0,"Mapped","UNMAPPED"))</x:f>
        <x:v>Mapped</x:v>
      </x:c>
    </x:row>
    <x:row r="112">
      <x:c r="A112" s="290" t="n">
        <x:v>46234</x:v>
      </x:c>
      <x:c r="B112" t="str">
        <x:v>2000</x:v>
      </x:c>
      <x:c r="C112" t="str">
        <x:v>Accounts Payable</x:v>
      </x:c>
      <x:c r="D112" t="str">
        <x:v>Corporate</x:v>
      </x:c>
      <x:c r="E112" t="str">
        <x:v>BS Snapshot</x:v>
      </x:c>
      <x:c r="F112" s="400" t="n">
        <x:v>-0.381393</x:v>
      </x:c>
      <x:c r="G112" t="str">
        <x:v>Synthetic ERP Export</x:v>
      </x:c>
      <x:c r="H112" t="str">
        <x:v>FY2026_DEMO</x:v>
      </x:c>
      <x:c r="I112" s="392" t="n">
        <x:v>46259.42291666667</x:v>
      </x:c>
      <x:c r="J112" t="str">
        <x:f>IF($B112="","",IF(COUNTIF(Account_Map!$A$6:$A$31,$B112)&gt;0,"Mapped","UNMAPPED"))</x:f>
        <x:v>Mapped</x:v>
      </x:c>
    </x:row>
    <x:row r="113">
      <x:c r="A113" s="290" t="n">
        <x:v>46234</x:v>
      </x:c>
      <x:c r="B113" t="str">
        <x:v>2100</x:v>
      </x:c>
      <x:c r="C113" t="str">
        <x:v>Accrued Expenses</x:v>
      </x:c>
      <x:c r="D113" t="str">
        <x:v>Corporate</x:v>
      </x:c>
      <x:c r="E113" t="str">
        <x:v>BS Snapshot</x:v>
      </x:c>
      <x:c r="F113" s="400" t="n">
        <x:v>-0.9505</x:v>
      </x:c>
      <x:c r="G113" t="str">
        <x:v>Synthetic ERP Export</x:v>
      </x:c>
      <x:c r="H113" t="str">
        <x:v>FY2026_DEMO</x:v>
      </x:c>
      <x:c r="I113" s="392" t="n">
        <x:v>46259.42291666667</x:v>
      </x:c>
      <x:c r="J113" t="str">
        <x:f>IF($B113="","",IF(COUNTIF(Account_Map!$A$6:$A$31,$B113)&gt;0,"Mapped","UNMAPPED"))</x:f>
        <x:v>Mapped</x:v>
      </x:c>
    </x:row>
    <x:row r="114">
      <x:c r="A114" s="290" t="n">
        <x:v>46234</x:v>
      </x:c>
      <x:c r="B114" t="str">
        <x:v>2200</x:v>
      </x:c>
      <x:c r="C114" t="str">
        <x:v>Deferred Revenue</x:v>
      </x:c>
      <x:c r="D114" t="str">
        <x:v>Corporate</x:v>
      </x:c>
      <x:c r="E114" t="str">
        <x:v>BS Snapshot</x:v>
      </x:c>
      <x:c r="F114" s="400" t="n">
        <x:v>-1.875</x:v>
      </x:c>
      <x:c r="G114" t="str">
        <x:v>Synthetic ERP Export</x:v>
      </x:c>
      <x:c r="H114" t="str">
        <x:v>FY2026_DEMO</x:v>
      </x:c>
      <x:c r="I114" s="392" t="n">
        <x:v>46259.42291666667</x:v>
      </x:c>
      <x:c r="J114" t="str">
        <x:f>IF($B114="","",IF(COUNTIF(Account_Map!$A$6:$A$31,$B114)&gt;0,"Mapped","UNMAPPED"))</x:f>
        <x:v>Mapped</x:v>
      </x:c>
    </x:row>
    <x:row r="115">
      <x:c r="A115" s="290" t="n">
        <x:v>46234</x:v>
      </x:c>
      <x:c r="B115" t="str">
        <x:v>2500</x:v>
      </x:c>
      <x:c r="C115" t="str">
        <x:v>Debt</x:v>
      </x:c>
      <x:c r="D115" t="str">
        <x:v>Corporate</x:v>
      </x:c>
      <x:c r="E115" t="str">
        <x:v>BS Snapshot</x:v>
      </x:c>
      <x:c r="F115" s="400" t="n">
        <x:v>-2.666667</x:v>
      </x:c>
      <x:c r="G115" t="str">
        <x:v>Synthetic ERP Export</x:v>
      </x:c>
      <x:c r="H115" t="str">
        <x:v>FY2026_DEMO</x:v>
      </x:c>
      <x:c r="I115" s="392" t="n">
        <x:v>46259.42291666667</x:v>
      </x:c>
      <x:c r="J115" t="str">
        <x:f>IF($B115="","",IF(COUNTIF(Account_Map!$A$6:$A$31,$B115)&gt;0,"Mapped","UNMAPPED"))</x:f>
        <x:v>Mapped</x:v>
      </x:c>
    </x:row>
    <x:row r="116">
      <x:c r="A116" s="290" t="n">
        <x:v>46234</x:v>
      </x:c>
      <x:c r="B116" t="str">
        <x:v>3000</x:v>
      </x:c>
      <x:c r="C116" t="str">
        <x:v>Equity</x:v>
      </x:c>
      <x:c r="D116" t="str">
        <x:v>Corporate</x:v>
      </x:c>
      <x:c r="E116" t="str">
        <x:v>BS Snapshot</x:v>
      </x:c>
      <x:c r="F116" s="400" t="n">
        <x:v>-2.668963</x:v>
      </x:c>
      <x:c r="G116" t="str">
        <x:v>Synthetic ERP Export</x:v>
      </x:c>
      <x:c r="H116" t="str">
        <x:v>FY2026_DEMO</x:v>
      </x:c>
      <x:c r="I116" s="392" t="n">
        <x:v>46259.42291666667</x:v>
      </x:c>
      <x:c r="J116" t="str">
        <x:f>IF($B116="","",IF(COUNTIF(Account_Map!$A$6:$A$31,$B116)&gt;0,"Mapped","UNMAPPED"))</x:f>
        <x:v>Mapped</x:v>
      </x:c>
    </x:row>
    <x:row r="117">
      <x:c r="A117" s="290" t="n">
        <x:v>46234</x:v>
      </x:c>
      <x:c r="B117" t="str">
        <x:v>4000</x:v>
      </x:c>
      <x:c r="C117" t="str">
        <x:v>Subscription Revenue</x:v>
      </x:c>
      <x:c r="D117" t="str">
        <x:v>Sales</x:v>
      </x:c>
      <x:c r="E117" t="str">
        <x:v>P&amp;L Activity</x:v>
      </x:c>
      <x:c r="F117" s="400" t="n">
        <x:v>-1.66</x:v>
      </x:c>
      <x:c r="G117" t="str">
        <x:v>Synthetic ERP Export</x:v>
      </x:c>
      <x:c r="H117" t="str">
        <x:v>FY2026_DEMO</x:v>
      </x:c>
      <x:c r="I117" s="392" t="n">
        <x:v>46259.42291666667</x:v>
      </x:c>
      <x:c r="J117" t="str">
        <x:f>IF($B117="","",IF(COUNTIF(Account_Map!$A$6:$A$31,$B117)&gt;0,"Mapped","UNMAPPED"))</x:f>
        <x:v>Mapped</x:v>
      </x:c>
    </x:row>
    <x:row r="118">
      <x:c r="A118" s="290" t="n">
        <x:v>46234</x:v>
      </x:c>
      <x:c r="B118" t="str">
        <x:v>5000</x:v>
      </x:c>
      <x:c r="C118" t="str">
        <x:v>Hosting &amp; Service Delivery</x:v>
      </x:c>
      <x:c r="D118" t="str">
        <x:v>Operations</x:v>
      </x:c>
      <x:c r="E118" t="str">
        <x:v>P&amp;L Activity</x:v>
      </x:c>
      <x:c r="F118" s="400" t="n">
        <x:v>0.415</x:v>
      </x:c>
      <x:c r="G118" t="str">
        <x:v>Synthetic ERP Export</x:v>
      </x:c>
      <x:c r="H118" t="str">
        <x:v>FY2026_DEMO</x:v>
      </x:c>
      <x:c r="I118" s="392" t="n">
        <x:v>46259.42291666667</x:v>
      </x:c>
      <x:c r="J118" t="str">
        <x:f>IF($B118="","",IF(COUNTIF(Account_Map!$A$6:$A$31,$B118)&gt;0,"Mapped","UNMAPPED"))</x:f>
        <x:v>Mapped</x:v>
      </x:c>
    </x:row>
    <x:row r="119">
      <x:c r="A119" s="290" t="n">
        <x:v>46234</x:v>
      </x:c>
      <x:c r="B119" t="str">
        <x:v>6100</x:v>
      </x:c>
      <x:c r="C119" t="str">
        <x:v>Sales &amp; Marketing</x:v>
      </x:c>
      <x:c r="D119" t="str">
        <x:v>Sales &amp; Marketing</x:v>
      </x:c>
      <x:c r="E119" t="str">
        <x:v>P&amp;L Activity</x:v>
      </x:c>
      <x:c r="F119" s="400" t="n">
        <x:v>0.498</x:v>
      </x:c>
      <x:c r="G119" t="str">
        <x:v>Synthetic ERP Export</x:v>
      </x:c>
      <x:c r="H119" t="str">
        <x:v>FY2026_DEMO</x:v>
      </x:c>
      <x:c r="I119" s="392" t="n">
        <x:v>46259.42291666667</x:v>
      </x:c>
      <x:c r="J119" t="str">
        <x:f>IF($B119="","",IF(COUNTIF(Account_Map!$A$6:$A$31,$B119)&gt;0,"Mapped","UNMAPPED"))</x:f>
        <x:v>Mapped</x:v>
      </x:c>
    </x:row>
    <x:row r="120">
      <x:c r="A120" s="290" t="n">
        <x:v>46234</x:v>
      </x:c>
      <x:c r="B120" t="str">
        <x:v>6200</x:v>
      </x:c>
      <x:c r="C120" t="str">
        <x:v>Research &amp; Development</x:v>
      </x:c>
      <x:c r="D120" t="str">
        <x:v>Product &amp; Engineering</x:v>
      </x:c>
      <x:c r="E120" t="str">
        <x:v>P&amp;L Activity</x:v>
      </x:c>
      <x:c r="F120" s="400" t="n">
        <x:v>0.2988</x:v>
      </x:c>
      <x:c r="G120" t="str">
        <x:v>Synthetic ERP Export</x:v>
      </x:c>
      <x:c r="H120" t="str">
        <x:v>FY2026_DEMO</x:v>
      </x:c>
      <x:c r="I120" s="392" t="n">
        <x:v>46259.42291666667</x:v>
      </x:c>
      <x:c r="J120" t="str">
        <x:f>IF($B120="","",IF(COUNTIF(Account_Map!$A$6:$A$31,$B120)&gt;0,"Mapped","UNMAPPED"))</x:f>
        <x:v>Mapped</x:v>
      </x:c>
    </x:row>
    <x:row r="121">
      <x:c r="A121" s="290" t="n">
        <x:v>46234</x:v>
      </x:c>
      <x:c r="B121" t="str">
        <x:v>6300</x:v>
      </x:c>
      <x:c r="C121" t="str">
        <x:v>General &amp; Administrative</x:v>
      </x:c>
      <x:c r="D121" t="str">
        <x:v>Corporate</x:v>
      </x:c>
      <x:c r="E121" t="str">
        <x:v>P&amp;L Activity</x:v>
      </x:c>
      <x:c r="F121" s="400" t="n">
        <x:v>0.249</x:v>
      </x:c>
      <x:c r="G121" t="str">
        <x:v>Synthetic ERP Export</x:v>
      </x:c>
      <x:c r="H121" t="str">
        <x:v>FY2026_DEMO</x:v>
      </x:c>
      <x:c r="I121" s="392" t="n">
        <x:v>46259.42291666667</x:v>
      </x:c>
      <x:c r="J121" t="str">
        <x:f>IF($B121="","",IF(COUNTIF(Account_Map!$A$6:$A$31,$B121)&gt;0,"Mapped","UNMAPPED"))</x:f>
        <x:v>Mapped</x:v>
      </x:c>
    </x:row>
    <x:row r="122">
      <x:c r="A122" s="290" t="n">
        <x:v>46234</x:v>
      </x:c>
      <x:c r="B122" t="str">
        <x:v>7000</x:v>
      </x:c>
      <x:c r="C122" t="str">
        <x:v>Depreciation &amp; Amortization</x:v>
      </x:c>
      <x:c r="D122" t="str">
        <x:v>Corporate</x:v>
      </x:c>
      <x:c r="E122" t="str">
        <x:v>P&amp;L Activity</x:v>
      </x:c>
      <x:c r="F122" s="400" t="n">
        <x:v>0.0332</x:v>
      </x:c>
      <x:c r="G122" t="str">
        <x:v>Synthetic ERP Export</x:v>
      </x:c>
      <x:c r="H122" t="str">
        <x:v>FY2026_DEMO</x:v>
      </x:c>
      <x:c r="I122" s="392" t="n">
        <x:v>46259.42291666667</x:v>
      </x:c>
      <x:c r="J122" t="str">
        <x:f>IF($B122="","",IF(COUNTIF(Account_Map!$A$6:$A$31,$B122)&gt;0,"Mapped","UNMAPPED"))</x:f>
        <x:v>Mapped</x:v>
      </x:c>
    </x:row>
    <x:row r="123">
      <x:c r="A123" s="290" t="n">
        <x:v>46234</x:v>
      </x:c>
      <x:c r="B123" t="str">
        <x:v>7100</x:v>
      </x:c>
      <x:c r="C123" t="str">
        <x:v>Interest Expense</x:v>
      </x:c>
      <x:c r="D123" t="str">
        <x:v>Corporate</x:v>
      </x:c>
      <x:c r="E123" t="str">
        <x:v>P&amp;L Activity</x:v>
      </x:c>
      <x:c r="F123" s="400" t="n">
        <x:v>0.0249</x:v>
      </x:c>
      <x:c r="G123" t="str">
        <x:v>Synthetic ERP Export</x:v>
      </x:c>
      <x:c r="H123" t="str">
        <x:v>FY2026_DEMO</x:v>
      </x:c>
      <x:c r="I123" s="392" t="n">
        <x:v>46259.42291666667</x:v>
      </x:c>
      <x:c r="J123" t="str">
        <x:f>IF($B123="","",IF(COUNTIF(Account_Map!$A$6:$A$31,$B123)&gt;0,"Mapped","UNMAPPED"))</x:f>
        <x:v>Mapped</x:v>
      </x:c>
    </x:row>
    <x:row r="124">
      <x:c r="A124" s="290" t="n">
        <x:v>46234</x:v>
      </x:c>
      <x:c r="B124" t="str">
        <x:v>7200</x:v>
      </x:c>
      <x:c r="C124" t="str">
        <x:v>Income Taxes</x:v>
      </x:c>
      <x:c r="D124" t="str">
        <x:v>Corporate</x:v>
      </x:c>
      <x:c r="E124" t="str">
        <x:v>P&amp;L Activity</x:v>
      </x:c>
      <x:c r="F124" s="400" t="n">
        <x:v>0.035275</x:v>
      </x:c>
      <x:c r="G124" t="str">
        <x:v>Synthetic ERP Export</x:v>
      </x:c>
      <x:c r="H124" t="str">
        <x:v>FY2026_DEMO</x:v>
      </x:c>
      <x:c r="I124" s="392" t="n">
        <x:v>46259.42291666667</x:v>
      </x:c>
      <x:c r="J124" t="str">
        <x:f>IF($B124="","",IF(COUNTIF(Account_Map!$A$6:$A$31,$B124)&gt;0,"Mapped","UNMAPPED"))</x:f>
        <x:v>Mapped</x:v>
      </x:c>
    </x:row>
    <x:row r="125">
      <x:c r="A125" s="290" t="n">
        <x:v>46265</x:v>
      </x:c>
      <x:c r="B125" t="str">
        <x:v>1000</x:v>
      </x:c>
      <x:c r="C125" t="str">
        <x:v>Cash &amp; Cash Equivalents</x:v>
      </x:c>
      <x:c r="D125" t="str">
        <x:v>Corporate</x:v>
      </x:c>
      <x:c r="E125" t="str">
        <x:v>BS Snapshot</x:v>
      </x:c>
      <x:c r="F125" s="400" t="n">
        <x:v>3.783333</x:v>
      </x:c>
      <x:c r="G125" t="str">
        <x:v>Synthetic ERP Export</x:v>
      </x:c>
      <x:c r="H125" t="str">
        <x:v>FY2026_DEMO</x:v>
      </x:c>
      <x:c r="I125" s="392" t="n">
        <x:v>46259.42291666667</x:v>
      </x:c>
      <x:c r="J125" t="str">
        <x:f>IF($B125="","",IF(COUNTIF(Account_Map!$A$6:$A$31,$B125)&gt;0,"Mapped","UNMAPPED"))</x:f>
        <x:v>Mapped</x:v>
      </x:c>
    </x:row>
    <x:row r="126">
      <x:c r="A126" s="290" t="n">
        <x:v>46265</x:v>
      </x:c>
      <x:c r="B126" t="str">
        <x:v>1100</x:v>
      </x:c>
      <x:c r="C126" t="str">
        <x:v>Accounts Receivable</x:v>
      </x:c>
      <x:c r="D126" t="str">
        <x:v>Corporate</x:v>
      </x:c>
      <x:c r="E126" t="str">
        <x:v>BS Snapshot</x:v>
      </x:c>
      <x:c r="F126" s="400" t="n">
        <x:v>2.343836</x:v>
      </x:c>
      <x:c r="G126" t="str">
        <x:v>Synthetic ERP Export</x:v>
      </x:c>
      <x:c r="H126" t="str">
        <x:v>FY2026_DEMO</x:v>
      </x:c>
      <x:c r="I126" s="392" t="n">
        <x:v>46259.42291666667</x:v>
      </x:c>
      <x:c r="J126" t="str">
        <x:f>IF($B126="","",IF(COUNTIF(Account_Map!$A$6:$A$31,$B126)&gt;0,"Mapped","UNMAPPED"))</x:f>
        <x:v>Mapped</x:v>
      </x:c>
    </x:row>
    <x:row r="127">
      <x:c r="A127" s="290" t="n">
        <x:v>46265</x:v>
      </x:c>
      <x:c r="B127" t="str">
        <x:v>1200</x:v>
      </x:c>
      <x:c r="C127" t="str">
        <x:v>Other Current Assets</x:v>
      </x:c>
      <x:c r="D127" t="str">
        <x:v>Corporate</x:v>
      </x:c>
      <x:c r="E127" t="str">
        <x:v>BS Snapshot</x:v>
      </x:c>
      <x:c r="F127" s="400" t="n">
        <x:v>0.56</x:v>
      </x:c>
      <x:c r="G127" t="str">
        <x:v>Synthetic ERP Export</x:v>
      </x:c>
      <x:c r="H127" t="str">
        <x:v>FY2026_DEMO</x:v>
      </x:c>
      <x:c r="I127" s="392" t="n">
        <x:v>46259.42291666667</x:v>
      </x:c>
      <x:c r="J127" t="str">
        <x:f>IF($B127="","",IF(COUNTIF(Account_Map!$A$6:$A$31,$B127)&gt;0,"Mapped","UNMAPPED"))</x:f>
        <x:v>Mapped</x:v>
      </x:c>
    </x:row>
    <x:row r="128">
      <x:c r="A128" s="290" t="n">
        <x:v>46265</x:v>
      </x:c>
      <x:c r="B128" t="str">
        <x:v>1500</x:v>
      </x:c>
      <x:c r="C128" t="str">
        <x:v>PP&amp;E, Net</x:v>
      </x:c>
      <x:c r="D128" t="str">
        <x:v>Corporate</x:v>
      </x:c>
      <x:c r="E128" t="str">
        <x:v>BS Snapshot</x:v>
      </x:c>
      <x:c r="F128" s="400" t="n">
        <x:v>1.916667</x:v>
      </x:c>
      <x:c r="G128" t="str">
        <x:v>Synthetic ERP Export</x:v>
      </x:c>
      <x:c r="H128" t="str">
        <x:v>FY2026_DEMO</x:v>
      </x:c>
      <x:c r="I128" s="392" t="n">
        <x:v>46259.42291666667</x:v>
      </x:c>
      <x:c r="J128" t="str">
        <x:f>IF($B128="","",IF(COUNTIF(Account_Map!$A$6:$A$31,$B128)&gt;0,"Mapped","UNMAPPED"))</x:f>
        <x:v>Mapped</x:v>
      </x:c>
    </x:row>
    <x:row r="129">
      <x:c r="A129" s="290" t="n">
        <x:v>46265</x:v>
      </x:c>
      <x:c r="B129" t="str">
        <x:v>2000</x:v>
      </x:c>
      <x:c r="C129" t="str">
        <x:v>Accounts Payable</x:v>
      </x:c>
      <x:c r="D129" t="str">
        <x:v>Corporate</x:v>
      </x:c>
      <x:c r="E129" t="str">
        <x:v>BS Snapshot</x:v>
      </x:c>
      <x:c r="F129" s="400" t="n">
        <x:v>-0.387306</x:v>
      </x:c>
      <x:c r="G129" t="str">
        <x:v>Synthetic ERP Export</x:v>
      </x:c>
      <x:c r="H129" t="str">
        <x:v>FY2026_DEMO</x:v>
      </x:c>
      <x:c r="I129" s="392" t="n">
        <x:v>46259.42291666667</x:v>
      </x:c>
      <x:c r="J129" t="str">
        <x:f>IF($B129="","",IF(COUNTIF(Account_Map!$A$6:$A$31,$B129)&gt;0,"Mapped","UNMAPPED"))</x:f>
        <x:v>Mapped</x:v>
      </x:c>
    </x:row>
    <x:row r="130">
      <x:c r="A130" s="290" t="n">
        <x:v>46265</x:v>
      </x:c>
      <x:c r="B130" t="str">
        <x:v>2100</x:v>
      </x:c>
      <x:c r="C130" t="str">
        <x:v>Accrued Expenses</x:v>
      </x:c>
      <x:c r="D130" t="str">
        <x:v>Corporate</x:v>
      </x:c>
      <x:c r="E130" t="str">
        <x:v>BS Snapshot</x:v>
      </x:c>
      <x:c r="F130" s="400" t="n">
        <x:v>-0.962</x:v>
      </x:c>
      <x:c r="G130" t="str">
        <x:v>Synthetic ERP Export</x:v>
      </x:c>
      <x:c r="H130" t="str">
        <x:v>FY2026_DEMO</x:v>
      </x:c>
      <x:c r="I130" s="392" t="n">
        <x:v>46259.42291666667</x:v>
      </x:c>
      <x:c r="J130" t="str">
        <x:f>IF($B130="","",IF(COUNTIF(Account_Map!$A$6:$A$31,$B130)&gt;0,"Mapped","UNMAPPED"))</x:f>
        <x:v>Mapped</x:v>
      </x:c>
    </x:row>
    <x:row r="131">
      <x:c r="A131" s="290" t="n">
        <x:v>46265</x:v>
      </x:c>
      <x:c r="B131" t="str">
        <x:v>2200</x:v>
      </x:c>
      <x:c r="C131" t="str">
        <x:v>Deferred Revenue</x:v>
      </x:c>
      <x:c r="D131" t="str">
        <x:v>Corporate</x:v>
      </x:c>
      <x:c r="E131" t="str">
        <x:v>BS Snapshot</x:v>
      </x:c>
      <x:c r="F131" s="400" t="n">
        <x:v>-1.9</x:v>
      </x:c>
      <x:c r="G131" t="str">
        <x:v>Synthetic ERP Export</x:v>
      </x:c>
      <x:c r="H131" t="str">
        <x:v>FY2026_DEMO</x:v>
      </x:c>
      <x:c r="I131" s="392" t="n">
        <x:v>46259.42291666667</x:v>
      </x:c>
      <x:c r="J131" t="str">
        <x:f>IF($B131="","",IF(COUNTIF(Account_Map!$A$6:$A$31,$B131)&gt;0,"Mapped","UNMAPPED"))</x:f>
        <x:v>Mapped</x:v>
      </x:c>
    </x:row>
    <x:row r="132">
      <x:c r="A132" s="290" t="n">
        <x:v>46265</x:v>
      </x:c>
      <x:c r="B132" t="str">
        <x:v>2500</x:v>
      </x:c>
      <x:c r="C132" t="str">
        <x:v>Debt</x:v>
      </x:c>
      <x:c r="D132" t="str">
        <x:v>Corporate</x:v>
      </x:c>
      <x:c r="E132" t="str">
        <x:v>BS Snapshot</x:v>
      </x:c>
      <x:c r="F132" s="400" t="n">
        <x:v>-2.633333</x:v>
      </x:c>
      <x:c r="G132" t="str">
        <x:v>Synthetic ERP Export</x:v>
      </x:c>
      <x:c r="H132" t="str">
        <x:v>FY2026_DEMO</x:v>
      </x:c>
      <x:c r="I132" s="392" t="n">
        <x:v>46259.42291666667</x:v>
      </x:c>
      <x:c r="J132" t="str">
        <x:f>IF($B132="","",IF(COUNTIF(Account_Map!$A$6:$A$31,$B132)&gt;0,"Mapped","UNMAPPED"))</x:f>
        <x:v>Mapped</x:v>
      </x:c>
    </x:row>
    <x:row r="133">
      <x:c r="A133" s="290" t="n">
        <x:v>46265</x:v>
      </x:c>
      <x:c r="B133" t="str">
        <x:v>3000</x:v>
      </x:c>
      <x:c r="C133" t="str">
        <x:v>Equity</x:v>
      </x:c>
      <x:c r="D133" t="str">
        <x:v>Corporate</x:v>
      </x:c>
      <x:c r="E133" t="str">
        <x:v>BS Snapshot</x:v>
      </x:c>
      <x:c r="F133" s="400" t="n">
        <x:v>-2.76453</x:v>
      </x:c>
      <x:c r="G133" t="str">
        <x:v>Synthetic ERP Export</x:v>
      </x:c>
      <x:c r="H133" t="str">
        <x:v>FY2026_DEMO</x:v>
      </x:c>
      <x:c r="I133" s="392" t="n">
        <x:v>46259.42291666667</x:v>
      </x:c>
      <x:c r="J133" t="str">
        <x:f>IF($B133="","",IF(COUNTIF(Account_Map!$A$6:$A$31,$B133)&gt;0,"Mapped","UNMAPPED"))</x:f>
        <x:v>Mapped</x:v>
      </x:c>
    </x:row>
    <x:row r="134">
      <x:c r="A134" s="290" t="n">
        <x:v>46265</x:v>
      </x:c>
      <x:c r="B134" t="str">
        <x:v>4000</x:v>
      </x:c>
      <x:c r="C134" t="str">
        <x:v>Subscription Revenue</x:v>
      </x:c>
      <x:c r="D134" t="str">
        <x:v>Sales</x:v>
      </x:c>
      <x:c r="E134" t="str">
        <x:v>P&amp;L Activity</x:v>
      </x:c>
      <x:c r="F134" s="400" t="n">
        <x:v>-1.7</x:v>
      </x:c>
      <x:c r="G134" t="str">
        <x:v>Synthetic ERP Export</x:v>
      </x:c>
      <x:c r="H134" t="str">
        <x:v>FY2026_DEMO</x:v>
      </x:c>
      <x:c r="I134" s="392" t="n">
        <x:v>46259.42291666667</x:v>
      </x:c>
      <x:c r="J134" t="str">
        <x:f>IF($B134="","",IF(COUNTIF(Account_Map!$A$6:$A$31,$B134)&gt;0,"Mapped","UNMAPPED"))</x:f>
        <x:v>Mapped</x:v>
      </x:c>
    </x:row>
    <x:row r="135">
      <x:c r="A135" s="290" t="n">
        <x:v>46265</x:v>
      </x:c>
      <x:c r="B135" t="str">
        <x:v>5000</x:v>
      </x:c>
      <x:c r="C135" t="str">
        <x:v>Hosting &amp; Service Delivery</x:v>
      </x:c>
      <x:c r="D135" t="str">
        <x:v>Operations</x:v>
      </x:c>
      <x:c r="E135" t="str">
        <x:v>P&amp;L Activity</x:v>
      </x:c>
      <x:c r="F135" s="400" t="n">
        <x:v>0.425</x:v>
      </x:c>
      <x:c r="G135" t="str">
        <x:v>Synthetic ERP Export</x:v>
      </x:c>
      <x:c r="H135" t="str">
        <x:v>FY2026_DEMO</x:v>
      </x:c>
      <x:c r="I135" s="392" t="n">
        <x:v>46259.42291666667</x:v>
      </x:c>
      <x:c r="J135" t="str">
        <x:f>IF($B135="","",IF(COUNTIF(Account_Map!$A$6:$A$31,$B135)&gt;0,"Mapped","UNMAPPED"))</x:f>
        <x:v>Mapped</x:v>
      </x:c>
    </x:row>
    <x:row r="136">
      <x:c r="A136" s="290" t="n">
        <x:v>46265</x:v>
      </x:c>
      <x:c r="B136" t="str">
        <x:v>6100</x:v>
      </x:c>
      <x:c r="C136" t="str">
        <x:v>Sales &amp; Marketing</x:v>
      </x:c>
      <x:c r="D136" t="str">
        <x:v>Sales &amp; Marketing</x:v>
      </x:c>
      <x:c r="E136" t="str">
        <x:v>P&amp;L Activity</x:v>
      </x:c>
      <x:c r="F136" s="400" t="n">
        <x:v>0.51</x:v>
      </x:c>
      <x:c r="G136" t="str">
        <x:v>Synthetic ERP Export</x:v>
      </x:c>
      <x:c r="H136" t="str">
        <x:v>FY2026_DEMO</x:v>
      </x:c>
      <x:c r="I136" s="392" t="n">
        <x:v>46259.42291666667</x:v>
      </x:c>
      <x:c r="J136" t="str">
        <x:f>IF($B136="","",IF(COUNTIF(Account_Map!$A$6:$A$31,$B136)&gt;0,"Mapped","UNMAPPED"))</x:f>
        <x:v>Mapped</x:v>
      </x:c>
    </x:row>
    <x:row r="137">
      <x:c r="A137" s="290" t="n">
        <x:v>46265</x:v>
      </x:c>
      <x:c r="B137" t="str">
        <x:v>6200</x:v>
      </x:c>
      <x:c r="C137" t="str">
        <x:v>Research &amp; Development</x:v>
      </x:c>
      <x:c r="D137" t="str">
        <x:v>Product &amp; Engineering</x:v>
      </x:c>
      <x:c r="E137" t="str">
        <x:v>P&amp;L Activity</x:v>
      </x:c>
      <x:c r="F137" s="400" t="n">
        <x:v>0.306</x:v>
      </x:c>
      <x:c r="G137" t="str">
        <x:v>Synthetic ERP Export</x:v>
      </x:c>
      <x:c r="H137" t="str">
        <x:v>FY2026_DEMO</x:v>
      </x:c>
      <x:c r="I137" s="392" t="n">
        <x:v>46259.42291666667</x:v>
      </x:c>
      <x:c r="J137" t="str">
        <x:f>IF($B137="","",IF(COUNTIF(Account_Map!$A$6:$A$31,$B137)&gt;0,"Mapped","UNMAPPED"))</x:f>
        <x:v>Mapped</x:v>
      </x:c>
    </x:row>
    <x:row r="138">
      <x:c r="A138" s="290" t="n">
        <x:v>46265</x:v>
      </x:c>
      <x:c r="B138" t="str">
        <x:v>6300</x:v>
      </x:c>
      <x:c r="C138" t="str">
        <x:v>General &amp; Administrative</x:v>
      </x:c>
      <x:c r="D138" t="str">
        <x:v>Corporate</x:v>
      </x:c>
      <x:c r="E138" t="str">
        <x:v>P&amp;L Activity</x:v>
      </x:c>
      <x:c r="F138" s="400" t="n">
        <x:v>0.255</x:v>
      </x:c>
      <x:c r="G138" t="str">
        <x:v>Synthetic ERP Export</x:v>
      </x:c>
      <x:c r="H138" t="str">
        <x:v>FY2026_DEMO</x:v>
      </x:c>
      <x:c r="I138" s="392" t="n">
        <x:v>46259.42291666667</x:v>
      </x:c>
      <x:c r="J138" t="str">
        <x:f>IF($B138="","",IF(COUNTIF(Account_Map!$A$6:$A$31,$B138)&gt;0,"Mapped","UNMAPPED"))</x:f>
        <x:v>Mapped</x:v>
      </x:c>
    </x:row>
    <x:row r="139">
      <x:c r="A139" s="290" t="n">
        <x:v>46265</x:v>
      </x:c>
      <x:c r="B139" t="str">
        <x:v>7000</x:v>
      </x:c>
      <x:c r="C139" t="str">
        <x:v>Depreciation &amp; Amortization</x:v>
      </x:c>
      <x:c r="D139" t="str">
        <x:v>Corporate</x:v>
      </x:c>
      <x:c r="E139" t="str">
        <x:v>P&amp;L Activity</x:v>
      </x:c>
      <x:c r="F139" s="400" t="n">
        <x:v>0.034</x:v>
      </x:c>
      <x:c r="G139" t="str">
        <x:v>Synthetic ERP Export</x:v>
      </x:c>
      <x:c r="H139" t="str">
        <x:v>FY2026_DEMO</x:v>
      </x:c>
      <x:c r="I139" s="392" t="n">
        <x:v>46259.42291666667</x:v>
      </x:c>
      <x:c r="J139" t="str">
        <x:f>IF($B139="","",IF(COUNTIF(Account_Map!$A$6:$A$31,$B139)&gt;0,"Mapped","UNMAPPED"))</x:f>
        <x:v>Mapped</x:v>
      </x:c>
    </x:row>
    <x:row r="140">
      <x:c r="A140" s="290" t="n">
        <x:v>46265</x:v>
      </x:c>
      <x:c r="B140" t="str">
        <x:v>7100</x:v>
      </x:c>
      <x:c r="C140" t="str">
        <x:v>Interest Expense</x:v>
      </x:c>
      <x:c r="D140" t="str">
        <x:v>Corporate</x:v>
      </x:c>
      <x:c r="E140" t="str">
        <x:v>P&amp;L Activity</x:v>
      </x:c>
      <x:c r="F140" s="400" t="n">
        <x:v>0.0255</x:v>
      </x:c>
      <x:c r="G140" t="str">
        <x:v>Synthetic ERP Export</x:v>
      </x:c>
      <x:c r="H140" t="str">
        <x:v>FY2026_DEMO</x:v>
      </x:c>
      <x:c r="I140" s="392" t="n">
        <x:v>46259.42291666667</x:v>
      </x:c>
      <x:c r="J140" t="str">
        <x:f>IF($B140="","",IF(COUNTIF(Account_Map!$A$6:$A$31,$B140)&gt;0,"Mapped","UNMAPPED"))</x:f>
        <x:v>Mapped</x:v>
      </x:c>
    </x:row>
    <x:row r="141">
      <x:c r="A141" s="290" t="n">
        <x:v>46265</x:v>
      </x:c>
      <x:c r="B141" t="str">
        <x:v>7200</x:v>
      </x:c>
      <x:c r="C141" t="str">
        <x:v>Income Taxes</x:v>
      </x:c>
      <x:c r="D141" t="str">
        <x:v>Corporate</x:v>
      </x:c>
      <x:c r="E141" t="str">
        <x:v>P&amp;L Activity</x:v>
      </x:c>
      <x:c r="F141" s="400" t="n">
        <x:v>0.036125</x:v>
      </x:c>
      <x:c r="G141" t="str">
        <x:v>Synthetic ERP Export</x:v>
      </x:c>
      <x:c r="H141" t="str">
        <x:v>FY2026_DEMO</x:v>
      </x:c>
      <x:c r="I141" s="392" t="n">
        <x:v>46259.42291666667</x:v>
      </x:c>
      <x:c r="J141" t="str">
        <x:f>IF($B141="","",IF(COUNTIF(Account_Map!$A$6:$A$31,$B141)&gt;0,"Mapped","UNMAPPED"))</x:f>
        <x:v>Mapped</x:v>
      </x:c>
    </x:row>
    <x:row r="142">
      <x:c r="A142" s="290" t="n">
        <x:v>46295</x:v>
      </x:c>
      <x:c r="B142" t="str">
        <x:v>1000</x:v>
      </x:c>
      <x:c r="C142" t="str">
        <x:v>Cash &amp; Cash Equivalents</x:v>
      </x:c>
      <x:c r="D142" t="str">
        <x:v>Corporate</x:v>
      </x:c>
      <x:c r="E142" t="str">
        <x:v>BS Snapshot</x:v>
      </x:c>
      <x:c r="F142" s="400" t="n">
        <x:v>3.8375</x:v>
      </x:c>
      <x:c r="G142" t="str">
        <x:v>Synthetic ERP Export</x:v>
      </x:c>
      <x:c r="H142" t="str">
        <x:v>FY2026_DEMO</x:v>
      </x:c>
      <x:c r="I142" s="392" t="n">
        <x:v>46259.42291666667</x:v>
      </x:c>
      <x:c r="J142" t="str">
        <x:f>IF($B142="","",IF(COUNTIF(Account_Map!$A$6:$A$31,$B142)&gt;0,"Mapped","UNMAPPED"))</x:f>
        <x:v>Mapped</x:v>
      </x:c>
    </x:row>
    <x:row r="143">
      <x:c r="A143" s="290" t="n">
        <x:v>46295</x:v>
      </x:c>
      <x:c r="B143" t="str">
        <x:v>1100</x:v>
      </x:c>
      <x:c r="C143" t="str">
        <x:v>Accounts Receivable</x:v>
      </x:c>
      <x:c r="D143" t="str">
        <x:v>Corporate</x:v>
      </x:c>
      <x:c r="E143" t="str">
        <x:v>BS Snapshot</x:v>
      </x:c>
      <x:c r="F143" s="400" t="n">
        <x:v>2.374315</x:v>
      </x:c>
      <x:c r="G143" t="str">
        <x:v>Synthetic ERP Export</x:v>
      </x:c>
      <x:c r="H143" t="str">
        <x:v>FY2026_DEMO</x:v>
      </x:c>
      <x:c r="I143" s="392" t="n">
        <x:v>46259.42291666667</x:v>
      </x:c>
      <x:c r="J143" t="str">
        <x:f>IF($B143="","",IF(COUNTIF(Account_Map!$A$6:$A$31,$B143)&gt;0,"Mapped","UNMAPPED"))</x:f>
        <x:v>Mapped</x:v>
      </x:c>
    </x:row>
    <x:row r="144">
      <x:c r="A144" s="290" t="n">
        <x:v>46295</x:v>
      </x:c>
      <x:c r="B144" t="str">
        <x:v>1200</x:v>
      </x:c>
      <x:c r="C144" t="str">
        <x:v>Other Current Assets</x:v>
      </x:c>
      <x:c r="D144" t="str">
        <x:v>Corporate</x:v>
      </x:c>
      <x:c r="E144" t="str">
        <x:v>BS Snapshot</x:v>
      </x:c>
      <x:c r="F144" s="400" t="n">
        <x:v>0.57</x:v>
      </x:c>
      <x:c r="G144" t="str">
        <x:v>Synthetic ERP Export</x:v>
      </x:c>
      <x:c r="H144" t="str">
        <x:v>FY2026_DEMO</x:v>
      </x:c>
      <x:c r="I144" s="392" t="n">
        <x:v>46259.42291666667</x:v>
      </x:c>
      <x:c r="J144" t="str">
        <x:f>IF($B144="","",IF(COUNTIF(Account_Map!$A$6:$A$31,$B144)&gt;0,"Mapped","UNMAPPED"))</x:f>
        <x:v>Mapped</x:v>
      </x:c>
    </x:row>
    <x:row r="145">
      <x:c r="A145" s="290" t="n">
        <x:v>46295</x:v>
      </x:c>
      <x:c r="B145" t="str">
        <x:v>1500</x:v>
      </x:c>
      <x:c r="C145" t="str">
        <x:v>PP&amp;E, Net</x:v>
      </x:c>
      <x:c r="D145" t="str">
        <x:v>Corporate</x:v>
      </x:c>
      <x:c r="E145" t="str">
        <x:v>BS Snapshot</x:v>
      </x:c>
      <x:c r="F145" s="400" t="n">
        <x:v>1.9375</x:v>
      </x:c>
      <x:c r="G145" t="str">
        <x:v>Synthetic ERP Export</x:v>
      </x:c>
      <x:c r="H145" t="str">
        <x:v>FY2026_DEMO</x:v>
      </x:c>
      <x:c r="I145" s="392" t="n">
        <x:v>46259.42291666667</x:v>
      </x:c>
      <x:c r="J145" t="str">
        <x:f>IF($B145="","",IF(COUNTIF(Account_Map!$A$6:$A$31,$B145)&gt;0,"Mapped","UNMAPPED"))</x:f>
        <x:v>Mapped</x:v>
      </x:c>
    </x:row>
    <x:row r="146">
      <x:c r="A146" s="290" t="n">
        <x:v>46295</x:v>
      </x:c>
      <x:c r="B146" t="str">
        <x:v>2000</x:v>
      </x:c>
      <x:c r="C146" t="str">
        <x:v>Accounts Payable</x:v>
      </x:c>
      <x:c r="D146" t="str">
        <x:v>Corporate</x:v>
      </x:c>
      <x:c r="E146" t="str">
        <x:v>BS Snapshot</x:v>
      </x:c>
      <x:c r="F146" s="400" t="n">
        <x:v>-0.393219</x:v>
      </x:c>
      <x:c r="G146" t="str">
        <x:v>Synthetic ERP Export</x:v>
      </x:c>
      <x:c r="H146" t="str">
        <x:v>FY2026_DEMO</x:v>
      </x:c>
      <x:c r="I146" s="392" t="n">
        <x:v>46259.42291666667</x:v>
      </x:c>
      <x:c r="J146" t="str">
        <x:f>IF($B146="","",IF(COUNTIF(Account_Map!$A$6:$A$31,$B146)&gt;0,"Mapped","UNMAPPED"))</x:f>
        <x:v>Mapped</x:v>
      </x:c>
    </x:row>
    <x:row r="147">
      <x:c r="A147" s="290" t="n">
        <x:v>46295</x:v>
      </x:c>
      <x:c r="B147" t="str">
        <x:v>2100</x:v>
      </x:c>
      <x:c r="C147" t="str">
        <x:v>Accrued Expenses</x:v>
      </x:c>
      <x:c r="D147" t="str">
        <x:v>Corporate</x:v>
      </x:c>
      <x:c r="E147" t="str">
        <x:v>BS Snapshot</x:v>
      </x:c>
      <x:c r="F147" s="400" t="n">
        <x:v>-0.9735</x:v>
      </x:c>
      <x:c r="G147" t="str">
        <x:v>Synthetic ERP Export</x:v>
      </x:c>
      <x:c r="H147" t="str">
        <x:v>FY2026_DEMO</x:v>
      </x:c>
      <x:c r="I147" s="392" t="n">
        <x:v>46259.42291666667</x:v>
      </x:c>
      <x:c r="J147" t="str">
        <x:f>IF($B147="","",IF(COUNTIF(Account_Map!$A$6:$A$31,$B147)&gt;0,"Mapped","UNMAPPED"))</x:f>
        <x:v>Mapped</x:v>
      </x:c>
    </x:row>
    <x:row r="148">
      <x:c r="A148" s="290" t="n">
        <x:v>46295</x:v>
      </x:c>
      <x:c r="B148" t="str">
        <x:v>2200</x:v>
      </x:c>
      <x:c r="C148" t="str">
        <x:v>Deferred Revenue</x:v>
      </x:c>
      <x:c r="D148" t="str">
        <x:v>Corporate</x:v>
      </x:c>
      <x:c r="E148" t="str">
        <x:v>BS Snapshot</x:v>
      </x:c>
      <x:c r="F148" s="400" t="n">
        <x:v>-1.925</x:v>
      </x:c>
      <x:c r="G148" t="str">
        <x:v>Synthetic ERP Export</x:v>
      </x:c>
      <x:c r="H148" t="str">
        <x:v>FY2026_DEMO</x:v>
      </x:c>
      <x:c r="I148" s="392" t="n">
        <x:v>46259.42291666667</x:v>
      </x:c>
      <x:c r="J148" t="str">
        <x:f>IF($B148="","",IF(COUNTIF(Account_Map!$A$6:$A$31,$B148)&gt;0,"Mapped","UNMAPPED"))</x:f>
        <x:v>Mapped</x:v>
      </x:c>
    </x:row>
    <x:row r="149">
      <x:c r="A149" s="290" t="n">
        <x:v>46295</x:v>
      </x:c>
      <x:c r="B149" t="str">
        <x:v>2500</x:v>
      </x:c>
      <x:c r="C149" t="str">
        <x:v>Debt</x:v>
      </x:c>
      <x:c r="D149" t="str">
        <x:v>Corporate</x:v>
      </x:c>
      <x:c r="E149" t="str">
        <x:v>BS Snapshot</x:v>
      </x:c>
      <x:c r="F149" s="400" t="n">
        <x:v>-2.6</x:v>
      </x:c>
      <x:c r="G149" t="str">
        <x:v>Synthetic ERP Export</x:v>
      </x:c>
      <x:c r="H149" t="str">
        <x:v>FY2026_DEMO</x:v>
      </x:c>
      <x:c r="I149" s="392" t="n">
        <x:v>46259.42291666667</x:v>
      </x:c>
      <x:c r="J149" t="str">
        <x:f>IF($B149="","",IF(COUNTIF(Account_Map!$A$6:$A$31,$B149)&gt;0,"Mapped","UNMAPPED"))</x:f>
        <x:v>Mapped</x:v>
      </x:c>
    </x:row>
    <x:row r="150">
      <x:c r="A150" s="290" t="n">
        <x:v>46295</x:v>
      </x:c>
      <x:c r="B150" t="str">
        <x:v>3000</x:v>
      </x:c>
      <x:c r="C150" t="str">
        <x:v>Equity</x:v>
      </x:c>
      <x:c r="D150" t="str">
        <x:v>Corporate</x:v>
      </x:c>
      <x:c r="E150" t="str">
        <x:v>BS Snapshot</x:v>
      </x:c>
      <x:c r="F150" s="400" t="n">
        <x:v>-2.860096</x:v>
      </x:c>
      <x:c r="G150" t="str">
        <x:v>Synthetic ERP Export</x:v>
      </x:c>
      <x:c r="H150" t="str">
        <x:v>FY2026_DEMO</x:v>
      </x:c>
      <x:c r="I150" s="392" t="n">
        <x:v>46259.42291666667</x:v>
      </x:c>
      <x:c r="J150" t="str">
        <x:f>IF($B150="","",IF(COUNTIF(Account_Map!$A$6:$A$31,$B150)&gt;0,"Mapped","UNMAPPED"))</x:f>
        <x:v>Mapped</x:v>
      </x:c>
    </x:row>
    <x:row r="151">
      <x:c r="A151" s="290" t="n">
        <x:v>46295</x:v>
      </x:c>
      <x:c r="B151" t="str">
        <x:v>4000</x:v>
      </x:c>
      <x:c r="C151" t="str">
        <x:v>Subscription Revenue</x:v>
      </x:c>
      <x:c r="D151" t="str">
        <x:v>Sales</x:v>
      </x:c>
      <x:c r="E151" t="str">
        <x:v>P&amp;L Activity</x:v>
      </x:c>
      <x:c r="F151" s="400" t="n">
        <x:v>-1.74</x:v>
      </x:c>
      <x:c r="G151" t="str">
        <x:v>Synthetic ERP Export</x:v>
      </x:c>
      <x:c r="H151" t="str">
        <x:v>FY2026_DEMO</x:v>
      </x:c>
      <x:c r="I151" s="392" t="n">
        <x:v>46259.42291666667</x:v>
      </x:c>
      <x:c r="J151" t="str">
        <x:f>IF($B151="","",IF(COUNTIF(Account_Map!$A$6:$A$31,$B151)&gt;0,"Mapped","UNMAPPED"))</x:f>
        <x:v>Mapped</x:v>
      </x:c>
    </x:row>
    <x:row r="152">
      <x:c r="A152" s="290" t="n">
        <x:v>46295</x:v>
      </x:c>
      <x:c r="B152" t="str">
        <x:v>5000</x:v>
      </x:c>
      <x:c r="C152" t="str">
        <x:v>Hosting &amp; Service Delivery</x:v>
      </x:c>
      <x:c r="D152" t="str">
        <x:v>Operations</x:v>
      </x:c>
      <x:c r="E152" t="str">
        <x:v>P&amp;L Activity</x:v>
      </x:c>
      <x:c r="F152" s="400" t="n">
        <x:v>0.435</x:v>
      </x:c>
      <x:c r="G152" t="str">
        <x:v>Synthetic ERP Export</x:v>
      </x:c>
      <x:c r="H152" t="str">
        <x:v>FY2026_DEMO</x:v>
      </x:c>
      <x:c r="I152" s="392" t="n">
        <x:v>46259.42291666667</x:v>
      </x:c>
      <x:c r="J152" t="str">
        <x:f>IF($B152="","",IF(COUNTIF(Account_Map!$A$6:$A$31,$B152)&gt;0,"Mapped","UNMAPPED"))</x:f>
        <x:v>Mapped</x:v>
      </x:c>
    </x:row>
    <x:row r="153">
      <x:c r="A153" s="290" t="n">
        <x:v>46295</x:v>
      </x:c>
      <x:c r="B153" t="str">
        <x:v>6100</x:v>
      </x:c>
      <x:c r="C153" t="str">
        <x:v>Sales &amp; Marketing</x:v>
      </x:c>
      <x:c r="D153" t="str">
        <x:v>Sales &amp; Marketing</x:v>
      </x:c>
      <x:c r="E153" t="str">
        <x:v>P&amp;L Activity</x:v>
      </x:c>
      <x:c r="F153" s="400" t="n">
        <x:v>0.522</x:v>
      </x:c>
      <x:c r="G153" t="str">
        <x:v>Synthetic ERP Export</x:v>
      </x:c>
      <x:c r="H153" t="str">
        <x:v>FY2026_DEMO</x:v>
      </x:c>
      <x:c r="I153" s="392" t="n">
        <x:v>46259.42291666667</x:v>
      </x:c>
      <x:c r="J153" t="str">
        <x:f>IF($B153="","",IF(COUNTIF(Account_Map!$A$6:$A$31,$B153)&gt;0,"Mapped","UNMAPPED"))</x:f>
        <x:v>Mapped</x:v>
      </x:c>
    </x:row>
    <x:row r="154">
      <x:c r="A154" s="290" t="n">
        <x:v>46295</x:v>
      </x:c>
      <x:c r="B154" t="str">
        <x:v>6200</x:v>
      </x:c>
      <x:c r="C154" t="str">
        <x:v>Research &amp; Development</x:v>
      </x:c>
      <x:c r="D154" t="str">
        <x:v>Product &amp; Engineering</x:v>
      </x:c>
      <x:c r="E154" t="str">
        <x:v>P&amp;L Activity</x:v>
      </x:c>
      <x:c r="F154" s="400" t="n">
        <x:v>0.3132</x:v>
      </x:c>
      <x:c r="G154" t="str">
        <x:v>Synthetic ERP Export</x:v>
      </x:c>
      <x:c r="H154" t="str">
        <x:v>FY2026_DEMO</x:v>
      </x:c>
      <x:c r="I154" s="392" t="n">
        <x:v>46259.42291666667</x:v>
      </x:c>
      <x:c r="J154" t="str">
        <x:f>IF($B154="","",IF(COUNTIF(Account_Map!$A$6:$A$31,$B154)&gt;0,"Mapped","UNMAPPED"))</x:f>
        <x:v>Mapped</x:v>
      </x:c>
    </x:row>
    <x:row r="155">
      <x:c r="A155" s="290" t="n">
        <x:v>46295</x:v>
      </x:c>
      <x:c r="B155" t="str">
        <x:v>6300</x:v>
      </x:c>
      <x:c r="C155" t="str">
        <x:v>General &amp; Administrative</x:v>
      </x:c>
      <x:c r="D155" t="str">
        <x:v>Corporate</x:v>
      </x:c>
      <x:c r="E155" t="str">
        <x:v>P&amp;L Activity</x:v>
      </x:c>
      <x:c r="F155" s="400" t="n">
        <x:v>0.261</x:v>
      </x:c>
      <x:c r="G155" t="str">
        <x:v>Synthetic ERP Export</x:v>
      </x:c>
      <x:c r="H155" t="str">
        <x:v>FY2026_DEMO</x:v>
      </x:c>
      <x:c r="I155" s="392" t="n">
        <x:v>46259.42291666667</x:v>
      </x:c>
      <x:c r="J155" t="str">
        <x:f>IF($B155="","",IF(COUNTIF(Account_Map!$A$6:$A$31,$B155)&gt;0,"Mapped","UNMAPPED"))</x:f>
        <x:v>Mapped</x:v>
      </x:c>
    </x:row>
    <x:row r="156">
      <x:c r="A156" s="290" t="n">
        <x:v>46295</x:v>
      </x:c>
      <x:c r="B156" t="str">
        <x:v>7000</x:v>
      </x:c>
      <x:c r="C156" t="str">
        <x:v>Depreciation &amp; Amortization</x:v>
      </x:c>
      <x:c r="D156" t="str">
        <x:v>Corporate</x:v>
      </x:c>
      <x:c r="E156" t="str">
        <x:v>P&amp;L Activity</x:v>
      </x:c>
      <x:c r="F156" s="400" t="n">
        <x:v>0.0348</x:v>
      </x:c>
      <x:c r="G156" t="str">
        <x:v>Synthetic ERP Export</x:v>
      </x:c>
      <x:c r="H156" t="str">
        <x:v>FY2026_DEMO</x:v>
      </x:c>
      <x:c r="I156" s="392" t="n">
        <x:v>46259.42291666667</x:v>
      </x:c>
      <x:c r="J156" t="str">
        <x:f>IF($B156="","",IF(COUNTIF(Account_Map!$A$6:$A$31,$B156)&gt;0,"Mapped","UNMAPPED"))</x:f>
        <x:v>Mapped</x:v>
      </x:c>
    </x:row>
    <x:row r="157">
      <x:c r="A157" s="290" t="n">
        <x:v>46295</x:v>
      </x:c>
      <x:c r="B157" t="str">
        <x:v>7100</x:v>
      </x:c>
      <x:c r="C157" t="str">
        <x:v>Interest Expense</x:v>
      </x:c>
      <x:c r="D157" t="str">
        <x:v>Corporate</x:v>
      </x:c>
      <x:c r="E157" t="str">
        <x:v>P&amp;L Activity</x:v>
      </x:c>
      <x:c r="F157" s="400" t="n">
        <x:v>0.0261</x:v>
      </x:c>
      <x:c r="G157" t="str">
        <x:v>Synthetic ERP Export</x:v>
      </x:c>
      <x:c r="H157" t="str">
        <x:v>FY2026_DEMO</x:v>
      </x:c>
      <x:c r="I157" s="392" t="n">
        <x:v>46259.42291666667</x:v>
      </x:c>
      <x:c r="J157" t="str">
        <x:f>IF($B157="","",IF(COUNTIF(Account_Map!$A$6:$A$31,$B157)&gt;0,"Mapped","UNMAPPED"))</x:f>
        <x:v>Mapped</x:v>
      </x:c>
    </x:row>
    <x:row r="158">
      <x:c r="A158" s="290" t="n">
        <x:v>46295</x:v>
      </x:c>
      <x:c r="B158" t="str">
        <x:v>7200</x:v>
      </x:c>
      <x:c r="C158" t="str">
        <x:v>Income Taxes</x:v>
      </x:c>
      <x:c r="D158" t="str">
        <x:v>Corporate</x:v>
      </x:c>
      <x:c r="E158" t="str">
        <x:v>P&amp;L Activity</x:v>
      </x:c>
      <x:c r="F158" s="400" t="n">
        <x:v>0.036975</x:v>
      </x:c>
      <x:c r="G158" t="str">
        <x:v>Synthetic ERP Export</x:v>
      </x:c>
      <x:c r="H158" t="str">
        <x:v>FY2026_DEMO</x:v>
      </x:c>
      <x:c r="I158" s="392" t="n">
        <x:v>46259.42291666667</x:v>
      </x:c>
      <x:c r="J158" t="str">
        <x:f>IF($B158="","",IF(COUNTIF(Account_Map!$A$6:$A$31,$B158)&gt;0,"Mapped","UNMAPPED"))</x:f>
        <x:v>Mapped</x:v>
      </x:c>
    </x:row>
    <x:row r="159">
      <x:c r="A159" s="290" t="n">
        <x:v>46326</x:v>
      </x:c>
      <x:c r="B159" t="str">
        <x:v>1000</x:v>
      </x:c>
      <x:c r="C159" t="str">
        <x:v>Cash &amp; Cash Equivalents</x:v>
      </x:c>
      <x:c r="D159" t="str">
        <x:v>Corporate</x:v>
      </x:c>
      <x:c r="E159" t="str">
        <x:v>BS Snapshot</x:v>
      </x:c>
      <x:c r="F159" s="400" t="n">
        <x:v>3.891667</x:v>
      </x:c>
      <x:c r="G159" t="str">
        <x:v>Synthetic ERP Export</x:v>
      </x:c>
      <x:c r="H159" t="str">
        <x:v>FY2026_DEMO</x:v>
      </x:c>
      <x:c r="I159" s="392" t="n">
        <x:v>46259.42291666667</x:v>
      </x:c>
      <x:c r="J159" t="str">
        <x:f>IF($B159="","",IF(COUNTIF(Account_Map!$A$6:$A$31,$B159)&gt;0,"Mapped","UNMAPPED"))</x:f>
        <x:v>Mapped</x:v>
      </x:c>
    </x:row>
    <x:row r="160">
      <x:c r="A160" s="290" t="n">
        <x:v>46326</x:v>
      </x:c>
      <x:c r="B160" t="str">
        <x:v>1100</x:v>
      </x:c>
      <x:c r="C160" t="str">
        <x:v>Accounts Receivable</x:v>
      </x:c>
      <x:c r="D160" t="str">
        <x:v>Corporate</x:v>
      </x:c>
      <x:c r="E160" t="str">
        <x:v>BS Snapshot</x:v>
      </x:c>
      <x:c r="F160" s="400" t="n">
        <x:v>2.404795</x:v>
      </x:c>
      <x:c r="G160" t="str">
        <x:v>Synthetic ERP Export</x:v>
      </x:c>
      <x:c r="H160" t="str">
        <x:v>FY2026_DEMO</x:v>
      </x:c>
      <x:c r="I160" s="392" t="n">
        <x:v>46259.42291666667</x:v>
      </x:c>
      <x:c r="J160" t="str">
        <x:f>IF($B160="","",IF(COUNTIF(Account_Map!$A$6:$A$31,$B160)&gt;0,"Mapped","UNMAPPED"))</x:f>
        <x:v>Mapped</x:v>
      </x:c>
    </x:row>
    <x:row r="161">
      <x:c r="A161" s="290" t="n">
        <x:v>46326</x:v>
      </x:c>
      <x:c r="B161" t="str">
        <x:v>1200</x:v>
      </x:c>
      <x:c r="C161" t="str">
        <x:v>Other Current Assets</x:v>
      </x:c>
      <x:c r="D161" t="str">
        <x:v>Corporate</x:v>
      </x:c>
      <x:c r="E161" t="str">
        <x:v>BS Snapshot</x:v>
      </x:c>
      <x:c r="F161" s="400" t="n">
        <x:v>0.58</x:v>
      </x:c>
      <x:c r="G161" t="str">
        <x:v>Synthetic ERP Export</x:v>
      </x:c>
      <x:c r="H161" t="str">
        <x:v>FY2026_DEMO</x:v>
      </x:c>
      <x:c r="I161" s="392" t="n">
        <x:v>46259.42291666667</x:v>
      </x:c>
      <x:c r="J161" t="str">
        <x:f>IF($B161="","",IF(COUNTIF(Account_Map!$A$6:$A$31,$B161)&gt;0,"Mapped","UNMAPPED"))</x:f>
        <x:v>Mapped</x:v>
      </x:c>
    </x:row>
    <x:row r="162">
      <x:c r="A162" s="290" t="n">
        <x:v>46326</x:v>
      </x:c>
      <x:c r="B162" t="str">
        <x:v>1500</x:v>
      </x:c>
      <x:c r="C162" t="str">
        <x:v>PP&amp;E, Net</x:v>
      </x:c>
      <x:c r="D162" t="str">
        <x:v>Corporate</x:v>
      </x:c>
      <x:c r="E162" t="str">
        <x:v>BS Snapshot</x:v>
      </x:c>
      <x:c r="F162" s="400" t="n">
        <x:v>1.958333</x:v>
      </x:c>
      <x:c r="G162" t="str">
        <x:v>Synthetic ERP Export</x:v>
      </x:c>
      <x:c r="H162" t="str">
        <x:v>FY2026_DEMO</x:v>
      </x:c>
      <x:c r="I162" s="392" t="n">
        <x:v>46259.42291666667</x:v>
      </x:c>
      <x:c r="J162" t="str">
        <x:f>IF($B162="","",IF(COUNTIF(Account_Map!$A$6:$A$31,$B162)&gt;0,"Mapped","UNMAPPED"))</x:f>
        <x:v>Mapped</x:v>
      </x:c>
    </x:row>
    <x:row r="163">
      <x:c r="A163" s="290" t="n">
        <x:v>46326</x:v>
      </x:c>
      <x:c r="B163" t="str">
        <x:v>2000</x:v>
      </x:c>
      <x:c r="C163" t="str">
        <x:v>Accounts Payable</x:v>
      </x:c>
      <x:c r="D163" t="str">
        <x:v>Corporate</x:v>
      </x:c>
      <x:c r="E163" t="str">
        <x:v>BS Snapshot</x:v>
      </x:c>
      <x:c r="F163" s="400" t="n">
        <x:v>-0.399132</x:v>
      </x:c>
      <x:c r="G163" t="str">
        <x:v>Synthetic ERP Export</x:v>
      </x:c>
      <x:c r="H163" t="str">
        <x:v>FY2026_DEMO</x:v>
      </x:c>
      <x:c r="I163" s="392" t="n">
        <x:v>46259.42291666667</x:v>
      </x:c>
      <x:c r="J163" t="str">
        <x:f>IF($B163="","",IF(COUNTIF(Account_Map!$A$6:$A$31,$B163)&gt;0,"Mapped","UNMAPPED"))</x:f>
        <x:v>Mapped</x:v>
      </x:c>
    </x:row>
    <x:row r="164">
      <x:c r="A164" s="290" t="n">
        <x:v>46326</x:v>
      </x:c>
      <x:c r="B164" t="str">
        <x:v>2100</x:v>
      </x:c>
      <x:c r="C164" t="str">
        <x:v>Accrued Expenses</x:v>
      </x:c>
      <x:c r="D164" t="str">
        <x:v>Corporate</x:v>
      </x:c>
      <x:c r="E164" t="str">
        <x:v>BS Snapshot</x:v>
      </x:c>
      <x:c r="F164" s="400" t="n">
        <x:v>-0.985</x:v>
      </x:c>
      <x:c r="G164" t="str">
        <x:v>Synthetic ERP Export</x:v>
      </x:c>
      <x:c r="H164" t="str">
        <x:v>FY2026_DEMO</x:v>
      </x:c>
      <x:c r="I164" s="392" t="n">
        <x:v>46259.42291666667</x:v>
      </x:c>
      <x:c r="J164" t="str">
        <x:f>IF($B164="","",IF(COUNTIF(Account_Map!$A$6:$A$31,$B164)&gt;0,"Mapped","UNMAPPED"))</x:f>
        <x:v>Mapped</x:v>
      </x:c>
    </x:row>
    <x:row r="165">
      <x:c r="A165" s="290" t="n">
        <x:v>46326</x:v>
      </x:c>
      <x:c r="B165" t="str">
        <x:v>2200</x:v>
      </x:c>
      <x:c r="C165" t="str">
        <x:v>Deferred Revenue</x:v>
      </x:c>
      <x:c r="D165" t="str">
        <x:v>Corporate</x:v>
      </x:c>
      <x:c r="E165" t="str">
        <x:v>BS Snapshot</x:v>
      </x:c>
      <x:c r="F165" s="400" t="n">
        <x:v>-1.95</x:v>
      </x:c>
      <x:c r="G165" t="str">
        <x:v>Synthetic ERP Export</x:v>
      </x:c>
      <x:c r="H165" t="str">
        <x:v>FY2026_DEMO</x:v>
      </x:c>
      <x:c r="I165" s="392" t="n">
        <x:v>46259.42291666667</x:v>
      </x:c>
      <x:c r="J165" t="str">
        <x:f>IF($B165="","",IF(COUNTIF(Account_Map!$A$6:$A$31,$B165)&gt;0,"Mapped","UNMAPPED"))</x:f>
        <x:v>Mapped</x:v>
      </x:c>
    </x:row>
    <x:row r="166">
      <x:c r="A166" s="290" t="n">
        <x:v>46326</x:v>
      </x:c>
      <x:c r="B166" t="str">
        <x:v>2500</x:v>
      </x:c>
      <x:c r="C166" t="str">
        <x:v>Debt</x:v>
      </x:c>
      <x:c r="D166" t="str">
        <x:v>Corporate</x:v>
      </x:c>
      <x:c r="E166" t="str">
        <x:v>BS Snapshot</x:v>
      </x:c>
      <x:c r="F166" s="400" t="n">
        <x:v>-2.566667</x:v>
      </x:c>
      <x:c r="G166" t="str">
        <x:v>Synthetic ERP Export</x:v>
      </x:c>
      <x:c r="H166" t="str">
        <x:v>FY2026_DEMO</x:v>
      </x:c>
      <x:c r="I166" s="392" t="n">
        <x:v>46259.42291666667</x:v>
      </x:c>
      <x:c r="J166" t="str">
        <x:f>IF($B166="","",IF(COUNTIF(Account_Map!$A$6:$A$31,$B166)&gt;0,"Mapped","UNMAPPED"))</x:f>
        <x:v>Mapped</x:v>
      </x:c>
    </x:row>
    <x:row r="167">
      <x:c r="A167" s="290" t="n">
        <x:v>46326</x:v>
      </x:c>
      <x:c r="B167" t="str">
        <x:v>3000</x:v>
      </x:c>
      <x:c r="C167" t="str">
        <x:v>Equity</x:v>
      </x:c>
      <x:c r="D167" t="str">
        <x:v>Corporate</x:v>
      </x:c>
      <x:c r="E167" t="str">
        <x:v>BS Snapshot</x:v>
      </x:c>
      <x:c r="F167" s="400" t="n">
        <x:v>-2.955662</x:v>
      </x:c>
      <x:c r="G167" t="str">
        <x:v>Synthetic ERP Export</x:v>
      </x:c>
      <x:c r="H167" t="str">
        <x:v>FY2026_DEMO</x:v>
      </x:c>
      <x:c r="I167" s="392" t="n">
        <x:v>46259.42291666667</x:v>
      </x:c>
      <x:c r="J167" t="str">
        <x:f>IF($B167="","",IF(COUNTIF(Account_Map!$A$6:$A$31,$B167)&gt;0,"Mapped","UNMAPPED"))</x:f>
        <x:v>Mapped</x:v>
      </x:c>
    </x:row>
    <x:row r="168">
      <x:c r="A168" s="290" t="n">
        <x:v>46326</x:v>
      </x:c>
      <x:c r="B168" t="str">
        <x:v>4000</x:v>
      </x:c>
      <x:c r="C168" t="str">
        <x:v>Subscription Revenue</x:v>
      </x:c>
      <x:c r="D168" t="str">
        <x:v>Sales</x:v>
      </x:c>
      <x:c r="E168" t="str">
        <x:v>P&amp;L Activity</x:v>
      </x:c>
      <x:c r="F168" s="400" t="n">
        <x:v>-1.78</x:v>
      </x:c>
      <x:c r="G168" t="str">
        <x:v>Synthetic ERP Export</x:v>
      </x:c>
      <x:c r="H168" t="str">
        <x:v>FY2026_DEMO</x:v>
      </x:c>
      <x:c r="I168" s="392" t="n">
        <x:v>46259.42291666667</x:v>
      </x:c>
      <x:c r="J168" t="str">
        <x:f>IF($B168="","",IF(COUNTIF(Account_Map!$A$6:$A$31,$B168)&gt;0,"Mapped","UNMAPPED"))</x:f>
        <x:v>Mapped</x:v>
      </x:c>
    </x:row>
    <x:row r="169">
      <x:c r="A169" s="290" t="n">
        <x:v>46326</x:v>
      </x:c>
      <x:c r="B169" t="str">
        <x:v>5000</x:v>
      </x:c>
      <x:c r="C169" t="str">
        <x:v>Hosting &amp; Service Delivery</x:v>
      </x:c>
      <x:c r="D169" t="str">
        <x:v>Operations</x:v>
      </x:c>
      <x:c r="E169" t="str">
        <x:v>P&amp;L Activity</x:v>
      </x:c>
      <x:c r="F169" s="400" t="n">
        <x:v>0.445</x:v>
      </x:c>
      <x:c r="G169" t="str">
        <x:v>Synthetic ERP Export</x:v>
      </x:c>
      <x:c r="H169" t="str">
        <x:v>FY2026_DEMO</x:v>
      </x:c>
      <x:c r="I169" s="392" t="n">
        <x:v>46259.42291666667</x:v>
      </x:c>
      <x:c r="J169" t="str">
        <x:f>IF($B169="","",IF(COUNTIF(Account_Map!$A$6:$A$31,$B169)&gt;0,"Mapped","UNMAPPED"))</x:f>
        <x:v>Mapped</x:v>
      </x:c>
    </x:row>
    <x:row r="170">
      <x:c r="A170" s="290" t="n">
        <x:v>46326</x:v>
      </x:c>
      <x:c r="B170" t="str">
        <x:v>6100</x:v>
      </x:c>
      <x:c r="C170" t="str">
        <x:v>Sales &amp; Marketing</x:v>
      </x:c>
      <x:c r="D170" t="str">
        <x:v>Sales &amp; Marketing</x:v>
      </x:c>
      <x:c r="E170" t="str">
        <x:v>P&amp;L Activity</x:v>
      </x:c>
      <x:c r="F170" s="400" t="n">
        <x:v>0.534</x:v>
      </x:c>
      <x:c r="G170" t="str">
        <x:v>Synthetic ERP Export</x:v>
      </x:c>
      <x:c r="H170" t="str">
        <x:v>FY2026_DEMO</x:v>
      </x:c>
      <x:c r="I170" s="392" t="n">
        <x:v>46259.42291666667</x:v>
      </x:c>
      <x:c r="J170" t="str">
        <x:f>IF($B170="","",IF(COUNTIF(Account_Map!$A$6:$A$31,$B170)&gt;0,"Mapped","UNMAPPED"))</x:f>
        <x:v>Mapped</x:v>
      </x:c>
    </x:row>
    <x:row r="171">
      <x:c r="A171" s="290" t="n">
        <x:v>46326</x:v>
      </x:c>
      <x:c r="B171" t="str">
        <x:v>6200</x:v>
      </x:c>
      <x:c r="C171" t="str">
        <x:v>Research &amp; Development</x:v>
      </x:c>
      <x:c r="D171" t="str">
        <x:v>Product &amp; Engineering</x:v>
      </x:c>
      <x:c r="E171" t="str">
        <x:v>P&amp;L Activity</x:v>
      </x:c>
      <x:c r="F171" s="400" t="n">
        <x:v>0.3204</x:v>
      </x:c>
      <x:c r="G171" t="str">
        <x:v>Synthetic ERP Export</x:v>
      </x:c>
      <x:c r="H171" t="str">
        <x:v>FY2026_DEMO</x:v>
      </x:c>
      <x:c r="I171" s="392" t="n">
        <x:v>46259.42291666667</x:v>
      </x:c>
      <x:c r="J171" t="str">
        <x:f>IF($B171="","",IF(COUNTIF(Account_Map!$A$6:$A$31,$B171)&gt;0,"Mapped","UNMAPPED"))</x:f>
        <x:v>Mapped</x:v>
      </x:c>
    </x:row>
    <x:row r="172">
      <x:c r="A172" s="290" t="n">
        <x:v>46326</x:v>
      </x:c>
      <x:c r="B172" t="str">
        <x:v>6300</x:v>
      </x:c>
      <x:c r="C172" t="str">
        <x:v>General &amp; Administrative</x:v>
      </x:c>
      <x:c r="D172" t="str">
        <x:v>Corporate</x:v>
      </x:c>
      <x:c r="E172" t="str">
        <x:v>P&amp;L Activity</x:v>
      </x:c>
      <x:c r="F172" s="400" t="n">
        <x:v>0.267</x:v>
      </x:c>
      <x:c r="G172" t="str">
        <x:v>Synthetic ERP Export</x:v>
      </x:c>
      <x:c r="H172" t="str">
        <x:v>FY2026_DEMO</x:v>
      </x:c>
      <x:c r="I172" s="392" t="n">
        <x:v>46259.42291666667</x:v>
      </x:c>
      <x:c r="J172" t="str">
        <x:f>IF($B172="","",IF(COUNTIF(Account_Map!$A$6:$A$31,$B172)&gt;0,"Mapped","UNMAPPED"))</x:f>
        <x:v>Mapped</x:v>
      </x:c>
    </x:row>
    <x:row r="173">
      <x:c r="A173" s="290" t="n">
        <x:v>46326</x:v>
      </x:c>
      <x:c r="B173" t="str">
        <x:v>7000</x:v>
      </x:c>
      <x:c r="C173" t="str">
        <x:v>Depreciation &amp; Amortization</x:v>
      </x:c>
      <x:c r="D173" t="str">
        <x:v>Corporate</x:v>
      </x:c>
      <x:c r="E173" t="str">
        <x:v>P&amp;L Activity</x:v>
      </x:c>
      <x:c r="F173" s="400" t="n">
        <x:v>0.0356</x:v>
      </x:c>
      <x:c r="G173" t="str">
        <x:v>Synthetic ERP Export</x:v>
      </x:c>
      <x:c r="H173" t="str">
        <x:v>FY2026_DEMO</x:v>
      </x:c>
      <x:c r="I173" s="392" t="n">
        <x:v>46259.42291666667</x:v>
      </x:c>
      <x:c r="J173" t="str">
        <x:f>IF($B173="","",IF(COUNTIF(Account_Map!$A$6:$A$31,$B173)&gt;0,"Mapped","UNMAPPED"))</x:f>
        <x:v>Mapped</x:v>
      </x:c>
    </x:row>
    <x:row r="174">
      <x:c r="A174" s="290" t="n">
        <x:v>46326</x:v>
      </x:c>
      <x:c r="B174" t="str">
        <x:v>7100</x:v>
      </x:c>
      <x:c r="C174" t="str">
        <x:v>Interest Expense</x:v>
      </x:c>
      <x:c r="D174" t="str">
        <x:v>Corporate</x:v>
      </x:c>
      <x:c r="E174" t="str">
        <x:v>P&amp;L Activity</x:v>
      </x:c>
      <x:c r="F174" s="400" t="n">
        <x:v>0.0267</x:v>
      </x:c>
      <x:c r="G174" t="str">
        <x:v>Synthetic ERP Export</x:v>
      </x:c>
      <x:c r="H174" t="str">
        <x:v>FY2026_DEMO</x:v>
      </x:c>
      <x:c r="I174" s="392" t="n">
        <x:v>46259.42291666667</x:v>
      </x:c>
      <x:c r="J174" t="str">
        <x:f>IF($B174="","",IF(COUNTIF(Account_Map!$A$6:$A$31,$B174)&gt;0,"Mapped","UNMAPPED"))</x:f>
        <x:v>Mapped</x:v>
      </x:c>
    </x:row>
    <x:row r="175">
      <x:c r="A175" s="290" t="n">
        <x:v>46326</x:v>
      </x:c>
      <x:c r="B175" t="str">
        <x:v>7200</x:v>
      </x:c>
      <x:c r="C175" t="str">
        <x:v>Income Taxes</x:v>
      </x:c>
      <x:c r="D175" t="str">
        <x:v>Corporate</x:v>
      </x:c>
      <x:c r="E175" t="str">
        <x:v>P&amp;L Activity</x:v>
      </x:c>
      <x:c r="F175" s="400" t="n">
        <x:v>0.037825</x:v>
      </x:c>
      <x:c r="G175" t="str">
        <x:v>Synthetic ERP Export</x:v>
      </x:c>
      <x:c r="H175" t="str">
        <x:v>FY2026_DEMO</x:v>
      </x:c>
      <x:c r="I175" s="392" t="n">
        <x:v>46259.42291666667</x:v>
      </x:c>
      <x:c r="J175" t="str">
        <x:f>IF($B175="","",IF(COUNTIF(Account_Map!$A$6:$A$31,$B175)&gt;0,"Mapped","UNMAPPED"))</x:f>
        <x:v>Mapped</x:v>
      </x:c>
    </x:row>
    <x:row r="176">
      <x:c r="A176" s="290" t="n">
        <x:v>46356</x:v>
      </x:c>
      <x:c r="B176" t="str">
        <x:v>1000</x:v>
      </x:c>
      <x:c r="C176" t="str">
        <x:v>Cash &amp; Cash Equivalents</x:v>
      </x:c>
      <x:c r="D176" t="str">
        <x:v>Corporate</x:v>
      </x:c>
      <x:c r="E176" t="str">
        <x:v>BS Snapshot</x:v>
      </x:c>
      <x:c r="F176" s="400" t="n">
        <x:v>3.945833</x:v>
      </x:c>
      <x:c r="G176" t="str">
        <x:v>Synthetic ERP Export</x:v>
      </x:c>
      <x:c r="H176" t="str">
        <x:v>FY2026_DEMO</x:v>
      </x:c>
      <x:c r="I176" s="392" t="n">
        <x:v>46259.42291666667</x:v>
      </x:c>
      <x:c r="J176" t="str">
        <x:f>IF($B176="","",IF(COUNTIF(Account_Map!$A$6:$A$31,$B176)&gt;0,"Mapped","UNMAPPED"))</x:f>
        <x:v>Mapped</x:v>
      </x:c>
    </x:row>
    <x:row r="177">
      <x:c r="A177" s="290" t="n">
        <x:v>46356</x:v>
      </x:c>
      <x:c r="B177" t="str">
        <x:v>1100</x:v>
      </x:c>
      <x:c r="C177" t="str">
        <x:v>Accounts Receivable</x:v>
      </x:c>
      <x:c r="D177" t="str">
        <x:v>Corporate</x:v>
      </x:c>
      <x:c r="E177" t="str">
        <x:v>BS Snapshot</x:v>
      </x:c>
      <x:c r="F177" s="400" t="n">
        <x:v>2.435274</x:v>
      </x:c>
      <x:c r="G177" t="str">
        <x:v>Synthetic ERP Export</x:v>
      </x:c>
      <x:c r="H177" t="str">
        <x:v>FY2026_DEMO</x:v>
      </x:c>
      <x:c r="I177" s="392" t="n">
        <x:v>46259.42291666667</x:v>
      </x:c>
      <x:c r="J177" t="str">
        <x:f>IF($B177="","",IF(COUNTIF(Account_Map!$A$6:$A$31,$B177)&gt;0,"Mapped","UNMAPPED"))</x:f>
        <x:v>Mapped</x:v>
      </x:c>
    </x:row>
    <x:row r="178">
      <x:c r="A178" s="290" t="n">
        <x:v>46356</x:v>
      </x:c>
      <x:c r="B178" t="str">
        <x:v>1200</x:v>
      </x:c>
      <x:c r="C178" t="str">
        <x:v>Other Current Assets</x:v>
      </x:c>
      <x:c r="D178" t="str">
        <x:v>Corporate</x:v>
      </x:c>
      <x:c r="E178" t="str">
        <x:v>BS Snapshot</x:v>
      </x:c>
      <x:c r="F178" s="400" t="n">
        <x:v>0.59</x:v>
      </x:c>
      <x:c r="G178" t="str">
        <x:v>Synthetic ERP Export</x:v>
      </x:c>
      <x:c r="H178" t="str">
        <x:v>FY2026_DEMO</x:v>
      </x:c>
      <x:c r="I178" s="392" t="n">
        <x:v>46259.42291666667</x:v>
      </x:c>
      <x:c r="J178" t="str">
        <x:f>IF($B178="","",IF(COUNTIF(Account_Map!$A$6:$A$31,$B178)&gt;0,"Mapped","UNMAPPED"))</x:f>
        <x:v>Mapped</x:v>
      </x:c>
    </x:row>
    <x:row r="179">
      <x:c r="A179" s="290" t="n">
        <x:v>46356</x:v>
      </x:c>
      <x:c r="B179" t="str">
        <x:v>1500</x:v>
      </x:c>
      <x:c r="C179" t="str">
        <x:v>PP&amp;E, Net</x:v>
      </x:c>
      <x:c r="D179" t="str">
        <x:v>Corporate</x:v>
      </x:c>
      <x:c r="E179" t="str">
        <x:v>BS Snapshot</x:v>
      </x:c>
      <x:c r="F179" s="400" t="n">
        <x:v>1.979167</x:v>
      </x:c>
      <x:c r="G179" t="str">
        <x:v>Synthetic ERP Export</x:v>
      </x:c>
      <x:c r="H179" t="str">
        <x:v>FY2026_DEMO</x:v>
      </x:c>
      <x:c r="I179" s="392" t="n">
        <x:v>46259.42291666667</x:v>
      </x:c>
      <x:c r="J179" t="str">
        <x:f>IF($B179="","",IF(COUNTIF(Account_Map!$A$6:$A$31,$B179)&gt;0,"Mapped","UNMAPPED"))</x:f>
        <x:v>Mapped</x:v>
      </x:c>
    </x:row>
    <x:row r="180">
      <x:c r="A180" s="290" t="n">
        <x:v>46356</x:v>
      </x:c>
      <x:c r="B180" t="str">
        <x:v>2000</x:v>
      </x:c>
      <x:c r="C180" t="str">
        <x:v>Accounts Payable</x:v>
      </x:c>
      <x:c r="D180" t="str">
        <x:v>Corporate</x:v>
      </x:c>
      <x:c r="E180" t="str">
        <x:v>BS Snapshot</x:v>
      </x:c>
      <x:c r="F180" s="400" t="n">
        <x:v>-0.405046</x:v>
      </x:c>
      <x:c r="G180" t="str">
        <x:v>Synthetic ERP Export</x:v>
      </x:c>
      <x:c r="H180" t="str">
        <x:v>FY2026_DEMO</x:v>
      </x:c>
      <x:c r="I180" s="392" t="n">
        <x:v>46259.42291666667</x:v>
      </x:c>
      <x:c r="J180" t="str">
        <x:f>IF($B180="","",IF(COUNTIF(Account_Map!$A$6:$A$31,$B180)&gt;0,"Mapped","UNMAPPED"))</x:f>
        <x:v>Mapped</x:v>
      </x:c>
    </x:row>
    <x:row r="181">
      <x:c r="A181" s="290" t="n">
        <x:v>46356</x:v>
      </x:c>
      <x:c r="B181" t="str">
        <x:v>2100</x:v>
      </x:c>
      <x:c r="C181" t="str">
        <x:v>Accrued Expenses</x:v>
      </x:c>
      <x:c r="D181" t="str">
        <x:v>Corporate</x:v>
      </x:c>
      <x:c r="E181" t="str">
        <x:v>BS Snapshot</x:v>
      </x:c>
      <x:c r="F181" s="400" t="n">
        <x:v>-0.9965</x:v>
      </x:c>
      <x:c r="G181" t="str">
        <x:v>Synthetic ERP Export</x:v>
      </x:c>
      <x:c r="H181" t="str">
        <x:v>FY2026_DEMO</x:v>
      </x:c>
      <x:c r="I181" s="392" t="n">
        <x:v>46259.42291666667</x:v>
      </x:c>
      <x:c r="J181" t="str">
        <x:f>IF($B181="","",IF(COUNTIF(Account_Map!$A$6:$A$31,$B181)&gt;0,"Mapped","UNMAPPED"))</x:f>
        <x:v>Mapped</x:v>
      </x:c>
    </x:row>
    <x:row r="182">
      <x:c r="A182" s="290" t="n">
        <x:v>46356</x:v>
      </x:c>
      <x:c r="B182" t="str">
        <x:v>2200</x:v>
      </x:c>
      <x:c r="C182" t="str">
        <x:v>Deferred Revenue</x:v>
      </x:c>
      <x:c r="D182" t="str">
        <x:v>Corporate</x:v>
      </x:c>
      <x:c r="E182" t="str">
        <x:v>BS Snapshot</x:v>
      </x:c>
      <x:c r="F182" s="400" t="n">
        <x:v>-1.975</x:v>
      </x:c>
      <x:c r="G182" t="str">
        <x:v>Synthetic ERP Export</x:v>
      </x:c>
      <x:c r="H182" t="str">
        <x:v>FY2026_DEMO</x:v>
      </x:c>
      <x:c r="I182" s="392" t="n">
        <x:v>46259.42291666667</x:v>
      </x:c>
      <x:c r="J182" t="str">
        <x:f>IF($B182="","",IF(COUNTIF(Account_Map!$A$6:$A$31,$B182)&gt;0,"Mapped","UNMAPPED"))</x:f>
        <x:v>Mapped</x:v>
      </x:c>
    </x:row>
    <x:row r="183">
      <x:c r="A183" s="290" t="n">
        <x:v>46356</x:v>
      </x:c>
      <x:c r="B183" t="str">
        <x:v>2500</x:v>
      </x:c>
      <x:c r="C183" t="str">
        <x:v>Debt</x:v>
      </x:c>
      <x:c r="D183" t="str">
        <x:v>Corporate</x:v>
      </x:c>
      <x:c r="E183" t="str">
        <x:v>BS Snapshot</x:v>
      </x:c>
      <x:c r="F183" s="400" t="n">
        <x:v>-2.533333</x:v>
      </x:c>
      <x:c r="G183" t="str">
        <x:v>Synthetic ERP Export</x:v>
      </x:c>
      <x:c r="H183" t="str">
        <x:v>FY2026_DEMO</x:v>
      </x:c>
      <x:c r="I183" s="392" t="n">
        <x:v>46259.42291666667</x:v>
      </x:c>
      <x:c r="J183" t="str">
        <x:f>IF($B183="","",IF(COUNTIF(Account_Map!$A$6:$A$31,$B183)&gt;0,"Mapped","UNMAPPED"))</x:f>
        <x:v>Mapped</x:v>
      </x:c>
    </x:row>
    <x:row r="184">
      <x:c r="A184" s="290" t="n">
        <x:v>46356</x:v>
      </x:c>
      <x:c r="B184" t="str">
        <x:v>3000</x:v>
      </x:c>
      <x:c r="C184" t="str">
        <x:v>Equity</x:v>
      </x:c>
      <x:c r="D184" t="str">
        <x:v>Corporate</x:v>
      </x:c>
      <x:c r="E184" t="str">
        <x:v>BS Snapshot</x:v>
      </x:c>
      <x:c r="F184" s="400" t="n">
        <x:v>-3.051228</x:v>
      </x:c>
      <x:c r="G184" t="str">
        <x:v>Synthetic ERP Export</x:v>
      </x:c>
      <x:c r="H184" t="str">
        <x:v>FY2026_DEMO</x:v>
      </x:c>
      <x:c r="I184" s="392" t="n">
        <x:v>46259.42291666667</x:v>
      </x:c>
      <x:c r="J184" t="str">
        <x:f>IF($B184="","",IF(COUNTIF(Account_Map!$A$6:$A$31,$B184)&gt;0,"Mapped","UNMAPPED"))</x:f>
        <x:v>Mapped</x:v>
      </x:c>
    </x:row>
    <x:row r="185">
      <x:c r="A185" s="290" t="n">
        <x:v>46356</x:v>
      </x:c>
      <x:c r="B185" t="str">
        <x:v>4000</x:v>
      </x:c>
      <x:c r="C185" t="str">
        <x:v>Subscription Revenue</x:v>
      </x:c>
      <x:c r="D185" t="str">
        <x:v>Sales</x:v>
      </x:c>
      <x:c r="E185" t="str">
        <x:v>P&amp;L Activity</x:v>
      </x:c>
      <x:c r="F185" s="400" t="n">
        <x:v>-1.92</x:v>
      </x:c>
      <x:c r="G185" t="str">
        <x:v>Synthetic ERP Export</x:v>
      </x:c>
      <x:c r="H185" t="str">
        <x:v>FY2026_DEMO</x:v>
      </x:c>
      <x:c r="I185" s="392" t="n">
        <x:v>46259.42291666667</x:v>
      </x:c>
      <x:c r="J185" t="str">
        <x:f>IF($B185="","",IF(COUNTIF(Account_Map!$A$6:$A$31,$B185)&gt;0,"Mapped","UNMAPPED"))</x:f>
        <x:v>Mapped</x:v>
      </x:c>
    </x:row>
    <x:row r="186">
      <x:c r="A186" s="290" t="n">
        <x:v>46356</x:v>
      </x:c>
      <x:c r="B186" t="str">
        <x:v>5000</x:v>
      </x:c>
      <x:c r="C186" t="str">
        <x:v>Hosting &amp; Service Delivery</x:v>
      </x:c>
      <x:c r="D186" t="str">
        <x:v>Operations</x:v>
      </x:c>
      <x:c r="E186" t="str">
        <x:v>P&amp;L Activity</x:v>
      </x:c>
      <x:c r="F186" s="400" t="n">
        <x:v>0.48</x:v>
      </x:c>
      <x:c r="G186" t="str">
        <x:v>Synthetic ERP Export</x:v>
      </x:c>
      <x:c r="H186" t="str">
        <x:v>FY2026_DEMO</x:v>
      </x:c>
      <x:c r="I186" s="392" t="n">
        <x:v>46259.42291666667</x:v>
      </x:c>
      <x:c r="J186" t="str">
        <x:f>IF($B186="","",IF(COUNTIF(Account_Map!$A$6:$A$31,$B186)&gt;0,"Mapped","UNMAPPED"))</x:f>
        <x:v>Mapped</x:v>
      </x:c>
    </x:row>
    <x:row r="187">
      <x:c r="A187" s="290" t="n">
        <x:v>46356</x:v>
      </x:c>
      <x:c r="B187" t="str">
        <x:v>6100</x:v>
      </x:c>
      <x:c r="C187" t="str">
        <x:v>Sales &amp; Marketing</x:v>
      </x:c>
      <x:c r="D187" t="str">
        <x:v>Sales &amp; Marketing</x:v>
      </x:c>
      <x:c r="E187" t="str">
        <x:v>P&amp;L Activity</x:v>
      </x:c>
      <x:c r="F187" s="400" t="n">
        <x:v>0.576</x:v>
      </x:c>
      <x:c r="G187" t="str">
        <x:v>Synthetic ERP Export</x:v>
      </x:c>
      <x:c r="H187" t="str">
        <x:v>FY2026_DEMO</x:v>
      </x:c>
      <x:c r="I187" s="392" t="n">
        <x:v>46259.42291666667</x:v>
      </x:c>
      <x:c r="J187" t="str">
        <x:f>IF($B187="","",IF(COUNTIF(Account_Map!$A$6:$A$31,$B187)&gt;0,"Mapped","UNMAPPED"))</x:f>
        <x:v>Mapped</x:v>
      </x:c>
    </x:row>
    <x:row r="188">
      <x:c r="A188" s="290" t="n">
        <x:v>46356</x:v>
      </x:c>
      <x:c r="B188" t="str">
        <x:v>6200</x:v>
      </x:c>
      <x:c r="C188" t="str">
        <x:v>Research &amp; Development</x:v>
      </x:c>
      <x:c r="D188" t="str">
        <x:v>Product &amp; Engineering</x:v>
      </x:c>
      <x:c r="E188" t="str">
        <x:v>P&amp;L Activity</x:v>
      </x:c>
      <x:c r="F188" s="400" t="n">
        <x:v>0.3456</x:v>
      </x:c>
      <x:c r="G188" t="str">
        <x:v>Synthetic ERP Export</x:v>
      </x:c>
      <x:c r="H188" t="str">
        <x:v>FY2026_DEMO</x:v>
      </x:c>
      <x:c r="I188" s="392" t="n">
        <x:v>46259.42291666667</x:v>
      </x:c>
      <x:c r="J188" t="str">
        <x:f>IF($B188="","",IF(COUNTIF(Account_Map!$A$6:$A$31,$B188)&gt;0,"Mapped","UNMAPPED"))</x:f>
        <x:v>Mapped</x:v>
      </x:c>
    </x:row>
    <x:row r="189">
      <x:c r="A189" s="290" t="n">
        <x:v>46356</x:v>
      </x:c>
      <x:c r="B189" t="str">
        <x:v>6300</x:v>
      </x:c>
      <x:c r="C189" t="str">
        <x:v>General &amp; Administrative</x:v>
      </x:c>
      <x:c r="D189" t="str">
        <x:v>Corporate</x:v>
      </x:c>
      <x:c r="E189" t="str">
        <x:v>P&amp;L Activity</x:v>
      </x:c>
      <x:c r="F189" s="400" t="n">
        <x:v>0.288</x:v>
      </x:c>
      <x:c r="G189" t="str">
        <x:v>Synthetic ERP Export</x:v>
      </x:c>
      <x:c r="H189" t="str">
        <x:v>FY2026_DEMO</x:v>
      </x:c>
      <x:c r="I189" s="392" t="n">
        <x:v>46259.42291666667</x:v>
      </x:c>
      <x:c r="J189" t="str">
        <x:f>IF($B189="","",IF(COUNTIF(Account_Map!$A$6:$A$31,$B189)&gt;0,"Mapped","UNMAPPED"))</x:f>
        <x:v>Mapped</x:v>
      </x:c>
    </x:row>
    <x:row r="190">
      <x:c r="A190" s="290" t="n">
        <x:v>46356</x:v>
      </x:c>
      <x:c r="B190" t="str">
        <x:v>7000</x:v>
      </x:c>
      <x:c r="C190" t="str">
        <x:v>Depreciation &amp; Amortization</x:v>
      </x:c>
      <x:c r="D190" t="str">
        <x:v>Corporate</x:v>
      </x:c>
      <x:c r="E190" t="str">
        <x:v>P&amp;L Activity</x:v>
      </x:c>
      <x:c r="F190" s="400" t="n">
        <x:v>0.0384</x:v>
      </x:c>
      <x:c r="G190" t="str">
        <x:v>Synthetic ERP Export</x:v>
      </x:c>
      <x:c r="H190" t="str">
        <x:v>FY2026_DEMO</x:v>
      </x:c>
      <x:c r="I190" s="392" t="n">
        <x:v>46259.42291666667</x:v>
      </x:c>
      <x:c r="J190" t="str">
        <x:f>IF($B190="","",IF(COUNTIF(Account_Map!$A$6:$A$31,$B190)&gt;0,"Mapped","UNMAPPED"))</x:f>
        <x:v>Mapped</x:v>
      </x:c>
    </x:row>
    <x:row r="191">
      <x:c r="A191" s="290" t="n">
        <x:v>46356</x:v>
      </x:c>
      <x:c r="B191" t="str">
        <x:v>7100</x:v>
      </x:c>
      <x:c r="C191" t="str">
        <x:v>Interest Expense</x:v>
      </x:c>
      <x:c r="D191" t="str">
        <x:v>Corporate</x:v>
      </x:c>
      <x:c r="E191" t="str">
        <x:v>P&amp;L Activity</x:v>
      </x:c>
      <x:c r="F191" s="400" t="n">
        <x:v>0.0288</x:v>
      </x:c>
      <x:c r="G191" t="str">
        <x:v>Synthetic ERP Export</x:v>
      </x:c>
      <x:c r="H191" t="str">
        <x:v>FY2026_DEMO</x:v>
      </x:c>
      <x:c r="I191" s="392" t="n">
        <x:v>46259.42291666667</x:v>
      </x:c>
      <x:c r="J191" t="str">
        <x:f>IF($B191="","",IF(COUNTIF(Account_Map!$A$6:$A$31,$B191)&gt;0,"Mapped","UNMAPPED"))</x:f>
        <x:v>Mapped</x:v>
      </x:c>
    </x:row>
    <x:row r="192">
      <x:c r="A192" s="290" t="n">
        <x:v>46356</x:v>
      </x:c>
      <x:c r="B192" t="str">
        <x:v>7200</x:v>
      </x:c>
      <x:c r="C192" t="str">
        <x:v>Income Taxes</x:v>
      </x:c>
      <x:c r="D192" t="str">
        <x:v>Corporate</x:v>
      </x:c>
      <x:c r="E192" t="str">
        <x:v>P&amp;L Activity</x:v>
      </x:c>
      <x:c r="F192" s="400" t="n">
        <x:v>0.0408</x:v>
      </x:c>
      <x:c r="G192" t="str">
        <x:v>Synthetic ERP Export</x:v>
      </x:c>
      <x:c r="H192" t="str">
        <x:v>FY2026_DEMO</x:v>
      </x:c>
      <x:c r="I192" s="392" t="n">
        <x:v>46259.42291666667</x:v>
      </x:c>
      <x:c r="J192" t="str">
        <x:f>IF($B192="","",IF(COUNTIF(Account_Map!$A$6:$A$31,$B192)&gt;0,"Mapped","UNMAPPED"))</x:f>
        <x:v>Mapped</x:v>
      </x:c>
    </x:row>
    <x:row r="193">
      <x:c r="A193" s="290" t="n">
        <x:v>46387</x:v>
      </x:c>
      <x:c r="B193" t="str">
        <x:v>1000</x:v>
      </x:c>
      <x:c r="C193" t="str">
        <x:v>Cash &amp; Cash Equivalents</x:v>
      </x:c>
      <x:c r="D193" t="str">
        <x:v>Corporate</x:v>
      </x:c>
      <x:c r="E193" t="str">
        <x:v>BS Snapshot</x:v>
      </x:c>
      <x:c r="F193" s="400" t="n">
        <x:v>4</x:v>
      </x:c>
      <x:c r="G193" t="str">
        <x:v>Synthetic ERP Export</x:v>
      </x:c>
      <x:c r="H193" t="str">
        <x:v>FY2026_DEMO</x:v>
      </x:c>
      <x:c r="I193" s="392" t="n">
        <x:v>46259.42291666667</x:v>
      </x:c>
      <x:c r="J193" t="str">
        <x:f>IF($B193="","",IF(COUNTIF(Account_Map!$A$6:$A$31,$B193)&gt;0,"Mapped","UNMAPPED"))</x:f>
        <x:v>Mapped</x:v>
      </x:c>
    </x:row>
    <x:row r="194">
      <x:c r="A194" s="290" t="n">
        <x:v>46387</x:v>
      </x:c>
      <x:c r="B194" t="str">
        <x:v>1100</x:v>
      </x:c>
      <x:c r="C194" t="str">
        <x:v>Accounts Receivable</x:v>
      </x:c>
      <x:c r="D194" t="str">
        <x:v>Corporate</x:v>
      </x:c>
      <x:c r="E194" t="str">
        <x:v>BS Snapshot</x:v>
      </x:c>
      <x:c r="F194" s="400" t="n">
        <x:v>2.4657534246575343</x:v>
      </x:c>
      <x:c r="G194" t="str">
        <x:v>Synthetic ERP Export</x:v>
      </x:c>
      <x:c r="H194" t="str">
        <x:v>FY2026_DEMO</x:v>
      </x:c>
      <x:c r="I194" s="392" t="n">
        <x:v>46259.42291666667</x:v>
      </x:c>
      <x:c r="J194" t="str">
        <x:f>IF($B194="","",IF(COUNTIF(Account_Map!$A$6:$A$31,$B194)&gt;0,"Mapped","UNMAPPED"))</x:f>
        <x:v>Mapped</x:v>
      </x:c>
    </x:row>
    <x:row r="195">
      <x:c r="A195" s="290" t="n">
        <x:v>46387</x:v>
      </x:c>
      <x:c r="B195" t="str">
        <x:v>1200</x:v>
      </x:c>
      <x:c r="C195" t="str">
        <x:v>Other Current Assets</x:v>
      </x:c>
      <x:c r="D195" t="str">
        <x:v>Corporate</x:v>
      </x:c>
      <x:c r="E195" t="str">
        <x:v>BS Snapshot</x:v>
      </x:c>
      <x:c r="F195" s="400" t="n">
        <x:v>0.6</x:v>
      </x:c>
      <x:c r="G195" t="str">
        <x:v>Synthetic ERP Export</x:v>
      </x:c>
      <x:c r="H195" t="str">
        <x:v>FY2026_DEMO</x:v>
      </x:c>
      <x:c r="I195" s="392" t="n">
        <x:v>46259.42291666667</x:v>
      </x:c>
      <x:c r="J195" t="str">
        <x:f>IF($B195="","",IF(COUNTIF(Account_Map!$A$6:$A$31,$B195)&gt;0,"Mapped","UNMAPPED"))</x:f>
        <x:v>Mapped</x:v>
      </x:c>
    </x:row>
    <x:row r="196">
      <x:c r="A196" s="290" t="n">
        <x:v>46387</x:v>
      </x:c>
      <x:c r="B196" t="str">
        <x:v>1500</x:v>
      </x:c>
      <x:c r="C196" t="str">
        <x:v>PP&amp;E, Net</x:v>
      </x:c>
      <x:c r="D196" t="str">
        <x:v>Corporate</x:v>
      </x:c>
      <x:c r="E196" t="str">
        <x:v>BS Snapshot</x:v>
      </x:c>
      <x:c r="F196" s="400" t="n">
        <x:v>2</x:v>
      </x:c>
      <x:c r="G196" t="str">
        <x:v>Synthetic ERP Export</x:v>
      </x:c>
      <x:c r="H196" t="str">
        <x:v>FY2026_DEMO</x:v>
      </x:c>
      <x:c r="I196" s="392" t="n">
        <x:v>46259.42291666667</x:v>
      </x:c>
      <x:c r="J196" t="str">
        <x:f>IF($B196="","",IF(COUNTIF(Account_Map!$A$6:$A$31,$B196)&gt;0,"Mapped","UNMAPPED"))</x:f>
        <x:v>Mapped</x:v>
      </x:c>
    </x:row>
    <x:row r="197">
      <x:c r="A197" s="290" t="n">
        <x:v>46387</x:v>
      </x:c>
      <x:c r="B197" t="str">
        <x:v>2000</x:v>
      </x:c>
      <x:c r="C197" t="str">
        <x:v>Accounts Payable</x:v>
      </x:c>
      <x:c r="D197" t="str">
        <x:v>Corporate</x:v>
      </x:c>
      <x:c r="E197" t="str">
        <x:v>BS Snapshot</x:v>
      </x:c>
      <x:c r="F197" s="400" t="n">
        <x:v>-0.410958904109589</x:v>
      </x:c>
      <x:c r="G197" t="str">
        <x:v>Synthetic ERP Export</x:v>
      </x:c>
      <x:c r="H197" t="str">
        <x:v>FY2026_DEMO</x:v>
      </x:c>
      <x:c r="I197" s="392" t="n">
        <x:v>46259.42291666667</x:v>
      </x:c>
      <x:c r="J197" t="str">
        <x:f>IF($B197="","",IF(COUNTIF(Account_Map!$A$6:$A$31,$B197)&gt;0,"Mapped","UNMAPPED"))</x:f>
        <x:v>Mapped</x:v>
      </x:c>
    </x:row>
    <x:row r="198">
      <x:c r="A198" s="290" t="n">
        <x:v>46387</x:v>
      </x:c>
      <x:c r="B198" t="str">
        <x:v>2100</x:v>
      </x:c>
      <x:c r="C198" t="str">
        <x:v>Accrued Expenses</x:v>
      </x:c>
      <x:c r="D198" t="str">
        <x:v>Corporate</x:v>
      </x:c>
      <x:c r="E198" t="str">
        <x:v>BS Snapshot</x:v>
      </x:c>
      <x:c r="F198" s="400" t="n">
        <x:v>-1.008</x:v>
      </x:c>
      <x:c r="G198" t="str">
        <x:v>Synthetic ERP Export</x:v>
      </x:c>
      <x:c r="H198" t="str">
        <x:v>FY2026_DEMO</x:v>
      </x:c>
      <x:c r="I198" s="392" t="n">
        <x:v>46259.42291666667</x:v>
      </x:c>
      <x:c r="J198" t="str">
        <x:f>IF($B198="","",IF(COUNTIF(Account_Map!$A$6:$A$31,$B198)&gt;0,"Mapped","UNMAPPED"))</x:f>
        <x:v>Mapped</x:v>
      </x:c>
    </x:row>
    <x:row r="199">
      <x:c r="A199" s="290" t="n">
        <x:v>46387</x:v>
      </x:c>
      <x:c r="B199" t="str">
        <x:v>2200</x:v>
      </x:c>
      <x:c r="C199" t="str">
        <x:v>Deferred Revenue</x:v>
      </x:c>
      <x:c r="D199" t="str">
        <x:v>Corporate</x:v>
      </x:c>
      <x:c r="E199" t="str">
        <x:v>BS Snapshot</x:v>
      </x:c>
      <x:c r="F199" s="400" t="n">
        <x:v>-2</x:v>
      </x:c>
      <x:c r="G199" t="str">
        <x:v>Synthetic ERP Export</x:v>
      </x:c>
      <x:c r="H199" t="str">
        <x:v>FY2026_DEMO</x:v>
      </x:c>
      <x:c r="I199" s="392" t="n">
        <x:v>46259.42291666667</x:v>
      </x:c>
      <x:c r="J199" t="str">
        <x:f>IF($B199="","",IF(COUNTIF(Account_Map!$A$6:$A$31,$B199)&gt;0,"Mapped","UNMAPPED"))</x:f>
        <x:v>Mapped</x:v>
      </x:c>
    </x:row>
    <x:row r="200">
      <x:c r="A200" s="290" t="n">
        <x:v>46387</x:v>
      </x:c>
      <x:c r="B200" t="str">
        <x:v>2500</x:v>
      </x:c>
      <x:c r="C200" t="str">
        <x:v>Debt</x:v>
      </x:c>
      <x:c r="D200" t="str">
        <x:v>Corporate</x:v>
      </x:c>
      <x:c r="E200" t="str">
        <x:v>BS Snapshot</x:v>
      </x:c>
      <x:c r="F200" s="400" t="n">
        <x:v>-2.5</x:v>
      </x:c>
      <x:c r="G200" t="str">
        <x:v>Synthetic ERP Export</x:v>
      </x:c>
      <x:c r="H200" t="str">
        <x:v>FY2026_DEMO</x:v>
      </x:c>
      <x:c r="I200" s="392" t="n">
        <x:v>46259.42291666667</x:v>
      </x:c>
      <x:c r="J200" t="str">
        <x:f>IF($B200="","",IF(COUNTIF(Account_Map!$A$6:$A$31,$B200)&gt;0,"Mapped","UNMAPPED"))</x:f>
        <x:v>Mapped</x:v>
      </x:c>
    </x:row>
    <x:row r="201">
      <x:c r="A201" s="290" t="n">
        <x:v>46387</x:v>
      </x:c>
      <x:c r="B201" t="str">
        <x:v>3000</x:v>
      </x:c>
      <x:c r="C201" t="str">
        <x:v>Equity</x:v>
      </x:c>
      <x:c r="D201" t="str">
        <x:v>Corporate</x:v>
      </x:c>
      <x:c r="E201" t="str">
        <x:v>BS Snapshot</x:v>
      </x:c>
      <x:c r="F201" s="400" t="n">
        <x:v>-3.146794520547944</x:v>
      </x:c>
      <x:c r="G201" t="str">
        <x:v>Synthetic ERP Export</x:v>
      </x:c>
      <x:c r="H201" t="str">
        <x:v>FY2026_DEMO</x:v>
      </x:c>
      <x:c r="I201" s="392" t="n">
        <x:v>46259.42291666667</x:v>
      </x:c>
      <x:c r="J201" t="str">
        <x:f>IF($B201="","",IF(COUNTIF(Account_Map!$A$6:$A$31,$B201)&gt;0,"Mapped","UNMAPPED"))</x:f>
        <x:v>Mapped</x:v>
      </x:c>
    </x:row>
    <x:row r="202">
      <x:c r="A202" s="290" t="n">
        <x:v>46387</x:v>
      </x:c>
      <x:c r="B202" t="str">
        <x:v>4000</x:v>
      </x:c>
      <x:c r="C202" t="str">
        <x:v>Subscription Revenue</x:v>
      </x:c>
      <x:c r="D202" t="str">
        <x:v>Sales</x:v>
      </x:c>
      <x:c r="E202" t="str">
        <x:v>P&amp;L Activity</x:v>
      </x:c>
      <x:c r="F202" s="400" t="n">
        <x:v>-2.08</x:v>
      </x:c>
      <x:c r="G202" t="str">
        <x:v>Synthetic ERP Export</x:v>
      </x:c>
      <x:c r="H202" t="str">
        <x:v>FY2026_DEMO</x:v>
      </x:c>
      <x:c r="I202" s="392" t="n">
        <x:v>46259.42291666667</x:v>
      </x:c>
      <x:c r="J202" t="str">
        <x:f>IF($B202="","",IF(COUNTIF(Account_Map!$A$6:$A$31,$B202)&gt;0,"Mapped","UNMAPPED"))</x:f>
        <x:v>Mapped</x:v>
      </x:c>
    </x:row>
    <x:row r="203">
      <x:c r="A203" s="290" t="n">
        <x:v>46387</x:v>
      </x:c>
      <x:c r="B203" t="str">
        <x:v>5000</x:v>
      </x:c>
      <x:c r="C203" t="str">
        <x:v>Hosting &amp; Service Delivery</x:v>
      </x:c>
      <x:c r="D203" t="str">
        <x:v>Operations</x:v>
      </x:c>
      <x:c r="E203" t="str">
        <x:v>P&amp;L Activity</x:v>
      </x:c>
      <x:c r="F203" s="400" t="n">
        <x:v>0.52</x:v>
      </x:c>
      <x:c r="G203" t="str">
        <x:v>Synthetic ERP Export</x:v>
      </x:c>
      <x:c r="H203" t="str">
        <x:v>FY2026_DEMO</x:v>
      </x:c>
      <x:c r="I203" s="392" t="n">
        <x:v>46259.42291666667</x:v>
      </x:c>
      <x:c r="J203" t="str">
        <x:f>IF($B203="","",IF(COUNTIF(Account_Map!$A$6:$A$31,$B203)&gt;0,"Mapped","UNMAPPED"))</x:f>
        <x:v>Mapped</x:v>
      </x:c>
    </x:row>
    <x:row r="204">
      <x:c r="A204" s="290" t="n">
        <x:v>46387</x:v>
      </x:c>
      <x:c r="B204" t="str">
        <x:v>6100</x:v>
      </x:c>
      <x:c r="C204" t="str">
        <x:v>Sales &amp; Marketing</x:v>
      </x:c>
      <x:c r="D204" t="str">
        <x:v>Sales &amp; Marketing</x:v>
      </x:c>
      <x:c r="E204" t="str">
        <x:v>P&amp;L Activity</x:v>
      </x:c>
      <x:c r="F204" s="400" t="n">
        <x:v>0.624</x:v>
      </x:c>
      <x:c r="G204" t="str">
        <x:v>Synthetic ERP Export</x:v>
      </x:c>
      <x:c r="H204" t="str">
        <x:v>FY2026_DEMO</x:v>
      </x:c>
      <x:c r="I204" s="392" t="n">
        <x:v>46259.42291666667</x:v>
      </x:c>
      <x:c r="J204" t="str">
        <x:f>IF($B204="","",IF(COUNTIF(Account_Map!$A$6:$A$31,$B204)&gt;0,"Mapped","UNMAPPED"))</x:f>
        <x:v>Mapped</x:v>
      </x:c>
    </x:row>
    <x:row r="205">
      <x:c r="A205" s="290" t="n">
        <x:v>46387</x:v>
      </x:c>
      <x:c r="B205" t="str">
        <x:v>6200</x:v>
      </x:c>
      <x:c r="C205" t="str">
        <x:v>Research &amp; Development</x:v>
      </x:c>
      <x:c r="D205" t="str">
        <x:v>Product &amp; Engineering</x:v>
      </x:c>
      <x:c r="E205" t="str">
        <x:v>P&amp;L Activity</x:v>
      </x:c>
      <x:c r="F205" s="400" t="n">
        <x:v>0.3744</x:v>
      </x:c>
      <x:c r="G205" t="str">
        <x:v>Synthetic ERP Export</x:v>
      </x:c>
      <x:c r="H205" t="str">
        <x:v>FY2026_DEMO</x:v>
      </x:c>
      <x:c r="I205" s="392" t="n">
        <x:v>46259.42291666667</x:v>
      </x:c>
      <x:c r="J205" t="str">
        <x:f>IF($B205="","",IF(COUNTIF(Account_Map!$A$6:$A$31,$B205)&gt;0,"Mapped","UNMAPPED"))</x:f>
        <x:v>Mapped</x:v>
      </x:c>
    </x:row>
    <x:row r="206">
      <x:c r="A206" s="290" t="n">
        <x:v>46387</x:v>
      </x:c>
      <x:c r="B206" t="str">
        <x:v>6300</x:v>
      </x:c>
      <x:c r="C206" t="str">
        <x:v>General &amp; Administrative</x:v>
      </x:c>
      <x:c r="D206" t="str">
        <x:v>Corporate</x:v>
      </x:c>
      <x:c r="E206" t="str">
        <x:v>P&amp;L Activity</x:v>
      </x:c>
      <x:c r="F206" s="400" t="n">
        <x:v>0.312</x:v>
      </x:c>
      <x:c r="G206" t="str">
        <x:v>Synthetic ERP Export</x:v>
      </x:c>
      <x:c r="H206" t="str">
        <x:v>FY2026_DEMO</x:v>
      </x:c>
      <x:c r="I206" s="392" t="n">
        <x:v>46259.42291666667</x:v>
      </x:c>
      <x:c r="J206" t="str">
        <x:f>IF($B206="","",IF(COUNTIF(Account_Map!$A$6:$A$31,$B206)&gt;0,"Mapped","UNMAPPED"))</x:f>
        <x:v>Mapped</x:v>
      </x:c>
    </x:row>
    <x:row r="207">
      <x:c r="A207" s="290" t="n">
        <x:v>46387</x:v>
      </x:c>
      <x:c r="B207" t="str">
        <x:v>7000</x:v>
      </x:c>
      <x:c r="C207" t="str">
        <x:v>Depreciation &amp; Amortization</x:v>
      </x:c>
      <x:c r="D207" t="str">
        <x:v>Corporate</x:v>
      </x:c>
      <x:c r="E207" t="str">
        <x:v>P&amp;L Activity</x:v>
      </x:c>
      <x:c r="F207" s="400" t="n">
        <x:v>0.0416</x:v>
      </x:c>
      <x:c r="G207" t="str">
        <x:v>Synthetic ERP Export</x:v>
      </x:c>
      <x:c r="H207" t="str">
        <x:v>FY2026_DEMO</x:v>
      </x:c>
      <x:c r="I207" s="392" t="n">
        <x:v>46259.42291666667</x:v>
      </x:c>
      <x:c r="J207" t="str">
        <x:f>IF($B207="","",IF(COUNTIF(Account_Map!$A$6:$A$31,$B207)&gt;0,"Mapped","UNMAPPED"))</x:f>
        <x:v>Mapped</x:v>
      </x:c>
    </x:row>
    <x:row r="208">
      <x:c r="A208" s="290" t="n">
        <x:v>46387</x:v>
      </x:c>
      <x:c r="B208" t="str">
        <x:v>7100</x:v>
      </x:c>
      <x:c r="C208" t="str">
        <x:v>Interest Expense</x:v>
      </x:c>
      <x:c r="D208" t="str">
        <x:v>Corporate</x:v>
      </x:c>
      <x:c r="E208" t="str">
        <x:v>P&amp;L Activity</x:v>
      </x:c>
      <x:c r="F208" s="400" t="n">
        <x:v>0.0312</x:v>
      </x:c>
      <x:c r="G208" t="str">
        <x:v>Synthetic ERP Export</x:v>
      </x:c>
      <x:c r="H208" t="str">
        <x:v>FY2026_DEMO</x:v>
      </x:c>
      <x:c r="I208" s="392" t="n">
        <x:v>46259.42291666667</x:v>
      </x:c>
      <x:c r="J208" t="str">
        <x:f>IF($B208="","",IF(COUNTIF(Account_Map!$A$6:$A$31,$B208)&gt;0,"Mapped","UNMAPPED"))</x:f>
        <x:v>Mapped</x:v>
      </x:c>
    </x:row>
    <x:row r="209">
      <x:c r="A209" s="290" t="n">
        <x:v>46387</x:v>
      </x:c>
      <x:c r="B209" t="str">
        <x:v>7200</x:v>
      </x:c>
      <x:c r="C209" t="str">
        <x:v>Income Taxes</x:v>
      </x:c>
      <x:c r="D209" t="str">
        <x:v>Corporate</x:v>
      </x:c>
      <x:c r="E209" t="str">
        <x:v>P&amp;L Activity</x:v>
      </x:c>
      <x:c r="F209" s="400" t="n">
        <x:v>0.0442</x:v>
      </x:c>
      <x:c r="G209" t="str">
        <x:v>Synthetic ERP Export</x:v>
      </x:c>
      <x:c r="H209" t="str">
        <x:v>FY2026_DEMO</x:v>
      </x:c>
      <x:c r="I209" s="392" t="n">
        <x:v>46259.42291666667</x:v>
      </x:c>
      <x:c r="J209" t="str">
        <x:f>IF($B209="","",IF(COUNTIF(Account_Map!$A$6:$A$31,$B209)&gt;0,"Mapped","UNMAPPED"))</x:f>
        <x:v>Mapped</x:v>
      </x:c>
    </x:row>
    <x:row r="210">
      <x:c r="A210" s="290" t="n">
        <x:v>46387</x:v>
      </x:c>
      <x:c r="B210" t="str">
        <x:v>9001</x:v>
      </x:c>
      <x:c r="C210" t="str">
        <x:v>Change in Accounts Receivable</x:v>
      </x:c>
      <x:c r="D210" t="str">
        <x:v>Corporate</x:v>
      </x:c>
      <x:c r="E210" t="str">
        <x:v>CF Activity</x:v>
      </x:c>
      <x:c r="F210" s="400" t="n">
        <x:v>-0.3</x:v>
      </x:c>
      <x:c r="G210" t="str">
        <x:v>Synthetic ERP Export</x:v>
      </x:c>
      <x:c r="H210" t="str">
        <x:v>FY2026_DEMO</x:v>
      </x:c>
      <x:c r="I210" s="392" t="n">
        <x:v>46259.42291666667</x:v>
      </x:c>
      <x:c r="J210" t="str">
        <x:f>IF($B210="","",IF(COUNTIF(Account_Map!$A$6:$A$31,$B210)&gt;0,"Mapped","UNMAPPED"))</x:f>
        <x:v>Mapped</x:v>
      </x:c>
    </x:row>
    <x:row r="211">
      <x:c r="A211" s="290" t="n">
        <x:v>46387</x:v>
      </x:c>
      <x:c r="B211" t="str">
        <x:v>9002</x:v>
      </x:c>
      <x:c r="C211" t="str">
        <x:v>Change in Other Current Assets</x:v>
      </x:c>
      <x:c r="D211" t="str">
        <x:v>Corporate</x:v>
      </x:c>
      <x:c r="E211" t="str">
        <x:v>CF Activity</x:v>
      </x:c>
      <x:c r="F211" s="400" t="n">
        <x:v>-0.1</x:v>
      </x:c>
      <x:c r="G211" t="str">
        <x:v>Synthetic ERP Export</x:v>
      </x:c>
      <x:c r="H211" t="str">
        <x:v>FY2026_DEMO</x:v>
      </x:c>
      <x:c r="I211" s="392" t="n">
        <x:v>46259.42291666667</x:v>
      </x:c>
      <x:c r="J211" t="str">
        <x:f>IF($B211="","",IF(COUNTIF(Account_Map!$A$6:$A$31,$B211)&gt;0,"Mapped","UNMAPPED"))</x:f>
        <x:v>Mapped</x:v>
      </x:c>
    </x:row>
    <x:row r="212">
      <x:c r="A212" s="290" t="n">
        <x:v>46387</x:v>
      </x:c>
      <x:c r="B212" t="str">
        <x:v>9003</x:v>
      </x:c>
      <x:c r="C212" t="str">
        <x:v>Change in Accounts Payable</x:v>
      </x:c>
      <x:c r="D212" t="str">
        <x:v>Corporate</x:v>
      </x:c>
      <x:c r="E212" t="str">
        <x:v>CF Activity</x:v>
      </x:c>
      <x:c r="F212" s="400" t="n">
        <x:v>0.05</x:v>
      </x:c>
      <x:c r="G212" t="str">
        <x:v>Synthetic ERP Export</x:v>
      </x:c>
      <x:c r="H212" t="str">
        <x:v>FY2026_DEMO</x:v>
      </x:c>
      <x:c r="I212" s="392" t="n">
        <x:v>46259.42291666667</x:v>
      </x:c>
      <x:c r="J212" t="str">
        <x:f>IF($B212="","",IF(COUNTIF(Account_Map!$A$6:$A$31,$B212)&gt;0,"Mapped","UNMAPPED"))</x:f>
        <x:v>Mapped</x:v>
      </x:c>
    </x:row>
    <x:row r="213">
      <x:c r="A213" s="290" t="n">
        <x:v>46387</x:v>
      </x:c>
      <x:c r="B213" t="str">
        <x:v>9004</x:v>
      </x:c>
      <x:c r="C213" t="str">
        <x:v>Change in Accrued Expenses</x:v>
      </x:c>
      <x:c r="D213" t="str">
        <x:v>Corporate</x:v>
      </x:c>
      <x:c r="E213" t="str">
        <x:v>CF Activity</x:v>
      </x:c>
      <x:c r="F213" s="400" t="n">
        <x:v>0.1</x:v>
      </x:c>
      <x:c r="G213" t="str">
        <x:v>Synthetic ERP Export</x:v>
      </x:c>
      <x:c r="H213" t="str">
        <x:v>FY2026_DEMO</x:v>
      </x:c>
      <x:c r="I213" s="392" t="n">
        <x:v>46259.42291666667</x:v>
      </x:c>
      <x:c r="J213" t="str">
        <x:f>IF($B213="","",IF(COUNTIF(Account_Map!$A$6:$A$31,$B213)&gt;0,"Mapped","UNMAPPED"))</x:f>
        <x:v>Mapped</x:v>
      </x:c>
    </x:row>
    <x:row r="214">
      <x:c r="A214" s="290" t="n">
        <x:v>46387</x:v>
      </x:c>
      <x:c r="B214" t="str">
        <x:v>9005</x:v>
      </x:c>
      <x:c r="C214" t="str">
        <x:v>Change in Deferred Revenue</x:v>
      </x:c>
      <x:c r="D214" t="str">
        <x:v>Corporate</x:v>
      </x:c>
      <x:c r="E214" t="str">
        <x:v>CF Activity</x:v>
      </x:c>
      <x:c r="F214" s="400" t="n">
        <x:v>0.2</x:v>
      </x:c>
      <x:c r="G214" t="str">
        <x:v>Synthetic ERP Export</x:v>
      </x:c>
      <x:c r="H214" t="str">
        <x:v>FY2026_DEMO</x:v>
      </x:c>
      <x:c r="I214" s="392" t="n">
        <x:v>46259.42291666667</x:v>
      </x:c>
      <x:c r="J214" t="str">
        <x:f>IF($B214="","",IF(COUNTIF(Account_Map!$A$6:$A$31,$B214)&gt;0,"Mapped","UNMAPPED"))</x:f>
        <x:v>Mapped</x:v>
      </x:c>
    </x:row>
    <x:row r="215">
      <x:c r="A215" s="290" t="n">
        <x:v>46387</x:v>
      </x:c>
      <x:c r="B215" t="str">
        <x:v>9006</x:v>
      </x:c>
      <x:c r="C215" t="str">
        <x:v>Capital Expenditures</x:v>
      </x:c>
      <x:c r="D215" t="str">
        <x:v>Corporate</x:v>
      </x:c>
      <x:c r="E215" t="str">
        <x:v>CF Activity</x:v>
      </x:c>
      <x:c r="F215" s="400" t="n">
        <x:v>-0.5</x:v>
      </x:c>
      <x:c r="G215" t="str">
        <x:v>Synthetic ERP Export</x:v>
      </x:c>
      <x:c r="H215" t="str">
        <x:v>FY2026_DEMO</x:v>
      </x:c>
      <x:c r="I215" s="392" t="n">
        <x:v>46259.42291666667</x:v>
      </x:c>
      <x:c r="J215" t="str">
        <x:f>IF($B215="","",IF(COUNTIF(Account_Map!$A$6:$A$31,$B215)&gt;0,"Mapped","UNMAPPED"))</x:f>
        <x:v>Mapped</x:v>
      </x:c>
    </x:row>
    <x:row r="216">
      <x:c r="A216" s="290" t="n">
        <x:v>46387</x:v>
      </x:c>
      <x:c r="B216" t="str">
        <x:v>9007</x:v>
      </x:c>
      <x:c r="C216" t="str">
        <x:v>Debt Repayment</x:v>
      </x:c>
      <x:c r="D216" t="str">
        <x:v>Corporate</x:v>
      </x:c>
      <x:c r="E216" t="str">
        <x:v>CF Activity</x:v>
      </x:c>
      <x:c r="F216" s="400" t="n">
        <x:v>-0.4</x:v>
      </x:c>
      <x:c r="G216" t="str">
        <x:v>Synthetic ERP Export</x:v>
      </x:c>
      <x:c r="H216" t="str">
        <x:v>FY2026_DEMO</x:v>
      </x:c>
      <x:c r="I216" s="392" t="n">
        <x:v>46259.42291666667</x:v>
      </x:c>
      <x:c r="J216" t="str">
        <x:f>IF($B216="","",IF(COUNTIF(Account_Map!$A$6:$A$31,$B216)&gt;0,"Mapped","UNMAPPED"))</x:f>
        <x:v>Mapped</x:v>
      </x:c>
    </x:row>
    <x:row r="217">
      <x:c r="A217" s="290" t="n">
        <x:v>46387</x:v>
      </x:c>
      <x:c r="B217" t="str">
        <x:v>9008</x:v>
      </x:c>
      <x:c r="C217" t="str">
        <x:v>Dividends</x:v>
      </x:c>
      <x:c r="D217" t="str">
        <x:v>Corporate</x:v>
      </x:c>
      <x:c r="E217" t="str">
        <x:v>CF Activity</x:v>
      </x:c>
      <x:c r="F217" s="400" t="n">
        <x:v>0</x:v>
      </x:c>
      <x:c r="G217" t="str">
        <x:v>Synthetic ERP Export</x:v>
      </x:c>
      <x:c r="H217" t="str">
        <x:v>FY2026_DEMO</x:v>
      </x:c>
      <x:c r="I217" s="392" t="n">
        <x:v>46259.42291666667</x:v>
      </x:c>
      <x:c r="J217" t="str">
        <x:f>IF($B217="","",IF(COUNTIF(Account_Map!$A$6:$A$31,$B217)&gt;0,"Mapped","UNMAPPED"))</x:f>
        <x:v>Mapped</x:v>
      </x:c>
    </x:row>
    <x:row r="218">
      <x:c r="A218" s="290" t="n">
        <x:v>46387</x:v>
      </x:c>
      <x:c r="B218" t="str">
        <x:v>9009</x:v>
      </x:c>
      <x:c r="C218" t="str">
        <x:v>Beginning Cash</x:v>
      </x:c>
      <x:c r="D218" t="str">
        <x:v>Corporate</x:v>
      </x:c>
      <x:c r="E218" t="str">
        <x:v>CF Value</x:v>
      </x:c>
      <x:c r="F218" s="400" t="n">
        <x:v>3.275</x:v>
      </x:c>
      <x:c r="G218" t="str">
        <x:v>Synthetic ERP Export</x:v>
      </x:c>
      <x:c r="H218" t="str">
        <x:v>FY2026_DEMO</x:v>
      </x:c>
      <x:c r="I218" s="392" t="n">
        <x:v>46259.42291666667</x:v>
      </x:c>
      <x:c r="J218" t="str">
        <x:f>IF($B218="","",IF(COUNTIF(Account_Map!$A$6:$A$31,$B218)&gt;0,"Mapped","UNMAPPED"))</x:f>
        <x:v>Mapped</x:v>
      </x:c>
    </x:row>
    <x:row r="219">
      <x:c r="A219" s="290"/>
      <x:c r="F219" s="400"/>
      <x:c r="I219" s="392"/>
      <x:c r="J219" t="str">
        <x:f>IF($B219="","",IF(COUNTIF(Account_Map!$A$6:$A$31,$B219)&gt;0,"Mapped","UNMAPPED"))</x:f>
      </x:c>
    </x:row>
    <x:row r="220">
      <x:c r="A220" s="290"/>
      <x:c r="F220" s="400"/>
      <x:c r="I220" s="392"/>
      <x:c r="J220" t="str">
        <x:f>IF($B220="","",IF(COUNTIF(Account_Map!$A$6:$A$31,$B220)&gt;0,"Mapped","UNMAPPED"))</x:f>
      </x:c>
    </x:row>
    <x:row r="221">
      <x:c r="A221" s="290"/>
      <x:c r="F221" s="400"/>
      <x:c r="I221" s="392"/>
      <x:c r="J221" t="str">
        <x:f>IF($B221="","",IF(COUNTIF(Account_Map!$A$6:$A$31,$B221)&gt;0,"Mapped","UNMAPPED"))</x:f>
      </x:c>
    </x:row>
    <x:row r="222">
      <x:c r="A222" s="290"/>
      <x:c r="F222" s="400"/>
      <x:c r="I222" s="392"/>
      <x:c r="J222" t="str">
        <x:f>IF($B222="","",IF(COUNTIF(Account_Map!$A$6:$A$31,$B222)&gt;0,"Mapped","UNMAPPED"))</x:f>
      </x:c>
    </x:row>
    <x:row r="223">
      <x:c r="A223" s="290"/>
      <x:c r="F223" s="400"/>
      <x:c r="I223" s="392"/>
      <x:c r="J223" t="str">
        <x:f>IF($B223="","",IF(COUNTIF(Account_Map!$A$6:$A$31,$B223)&gt;0,"Mapped","UNMAPPED"))</x:f>
      </x:c>
    </x:row>
    <x:row r="224">
      <x:c r="A224" s="290"/>
      <x:c r="F224" s="400"/>
      <x:c r="I224" s="392"/>
      <x:c r="J224" t="str">
        <x:f>IF($B224="","",IF(COUNTIF(Account_Map!$A$6:$A$31,$B224)&gt;0,"Mapped","UNMAPPED"))</x:f>
      </x:c>
    </x:row>
    <x:row r="225">
      <x:c r="A225" s="290"/>
      <x:c r="F225" s="400"/>
      <x:c r="I225" s="392"/>
      <x:c r="J225" t="str">
        <x:f>IF($B225="","",IF(COUNTIF(Account_Map!$A$6:$A$31,$B225)&gt;0,"Mapped","UNMAPPED"))</x:f>
      </x:c>
    </x:row>
    <x:row r="226">
      <x:c r="A226" s="290"/>
      <x:c r="F226" s="400"/>
      <x:c r="I226" s="392"/>
      <x:c r="J226" t="str">
        <x:f>IF($B226="","",IF(COUNTIF(Account_Map!$A$6:$A$31,$B226)&gt;0,"Mapped","UNMAPPED"))</x:f>
      </x:c>
    </x:row>
    <x:row r="227">
      <x:c r="A227" s="290"/>
      <x:c r="F227" s="400"/>
      <x:c r="I227" s="392"/>
      <x:c r="J227" t="str">
        <x:f>IF($B227="","",IF(COUNTIF(Account_Map!$A$6:$A$31,$B227)&gt;0,"Mapped","UNMAPPED"))</x:f>
      </x:c>
    </x:row>
    <x:row r="228">
      <x:c r="A228" s="290"/>
      <x:c r="F228" s="400"/>
      <x:c r="I228" s="392"/>
      <x:c r="J228" t="str">
        <x:f>IF($B228="","",IF(COUNTIF(Account_Map!$A$6:$A$31,$B228)&gt;0,"Mapped","UNMAPPED"))</x:f>
      </x:c>
    </x:row>
    <x:row r="229">
      <x:c r="A229" s="290"/>
      <x:c r="F229" s="400"/>
      <x:c r="I229" s="392"/>
      <x:c r="J229" t="str">
        <x:f>IF($B229="","",IF(COUNTIF(Account_Map!$A$6:$A$31,$B229)&gt;0,"Mapped","UNMAPPED"))</x:f>
      </x:c>
    </x:row>
    <x:row r="230">
      <x:c r="A230" s="290"/>
      <x:c r="F230" s="400"/>
      <x:c r="I230" s="392"/>
      <x:c r="J230" t="str">
        <x:f>IF($B230="","",IF(COUNTIF(Account_Map!$A$6:$A$31,$B230)&gt;0,"Mapped","UNMAPPED"))</x:f>
      </x:c>
    </x:row>
    <x:row r="231">
      <x:c r="A231" s="290"/>
      <x:c r="F231" s="400"/>
      <x:c r="I231" s="392"/>
      <x:c r="J231" t="str">
        <x:f>IF($B231="","",IF(COUNTIF(Account_Map!$A$6:$A$31,$B231)&gt;0,"Mapped","UNMAPPED"))</x:f>
      </x:c>
    </x:row>
    <x:row r="232">
      <x:c r="A232" s="290"/>
      <x:c r="F232" s="400"/>
      <x:c r="I232" s="392"/>
      <x:c r="J232" t="str">
        <x:f>IF($B232="","",IF(COUNTIF(Account_Map!$A$6:$A$31,$B232)&gt;0,"Mapped","UNMAPPED"))</x:f>
      </x:c>
    </x:row>
    <x:row r="233">
      <x:c r="A233" s="290"/>
      <x:c r="F233" s="400"/>
      <x:c r="I233" s="392"/>
      <x:c r="J233" t="str">
        <x:f>IF($B233="","",IF(COUNTIF(Account_Map!$A$6:$A$31,$B233)&gt;0,"Mapped","UNMAPPED"))</x:f>
      </x:c>
    </x:row>
    <x:row r="234">
      <x:c r="A234" s="290"/>
      <x:c r="F234" s="400"/>
      <x:c r="I234" s="392"/>
      <x:c r="J234" t="str">
        <x:f>IF($B234="","",IF(COUNTIF(Account_Map!$A$6:$A$31,$B234)&gt;0,"Mapped","UNMAPPED"))</x:f>
      </x:c>
    </x:row>
    <x:row r="235">
      <x:c r="A235" s="290"/>
      <x:c r="F235" s="400"/>
      <x:c r="I235" s="392"/>
      <x:c r="J235" t="str">
        <x:f>IF($B235="","",IF(COUNTIF(Account_Map!$A$6:$A$31,$B235)&gt;0,"Mapped","UNMAPPED"))</x:f>
      </x:c>
    </x:row>
    <x:row r="236">
      <x:c r="A236" s="290"/>
      <x:c r="F236" s="400"/>
      <x:c r="I236" s="392"/>
      <x:c r="J236" t="str">
        <x:f>IF($B236="","",IF(COUNTIF(Account_Map!$A$6:$A$31,$B236)&gt;0,"Mapped","UNMAPPED"))</x:f>
      </x:c>
    </x:row>
    <x:row r="237">
      <x:c r="A237" s="290"/>
      <x:c r="F237" s="400"/>
      <x:c r="I237" s="392"/>
      <x:c r="J237" t="str">
        <x:f>IF($B237="","",IF(COUNTIF(Account_Map!$A$6:$A$31,$B237)&gt;0,"Mapped","UNMAPPED"))</x:f>
      </x:c>
    </x:row>
    <x:row r="238">
      <x:c r="A238" s="290"/>
      <x:c r="F238" s="400"/>
      <x:c r="I238" s="392"/>
      <x:c r="J238" t="str">
        <x:f>IF($B238="","",IF(COUNTIF(Account_Map!$A$6:$A$31,$B238)&gt;0,"Mapped","UNMAPPED"))</x:f>
      </x:c>
    </x:row>
    <x:row r="239">
      <x:c r="A239" s="290"/>
      <x:c r="F239" s="400"/>
      <x:c r="I239" s="392"/>
      <x:c r="J239" t="str">
        <x:f>IF($B239="","",IF(COUNTIF(Account_Map!$A$6:$A$31,$B239)&gt;0,"Mapped","UNMAPPED"))</x:f>
      </x:c>
    </x:row>
    <x:row r="240">
      <x:c r="A240" s="290"/>
      <x:c r="F240" s="400"/>
      <x:c r="I240" s="392"/>
      <x:c r="J240" t="str">
        <x:f>IF($B240="","",IF(COUNTIF(Account_Map!$A$6:$A$31,$B240)&gt;0,"Mapped","UNMAPPED"))</x:f>
      </x:c>
    </x:row>
    <x:row r="241">
      <x:c r="A241" s="290"/>
      <x:c r="F241" s="400"/>
      <x:c r="I241" s="392"/>
      <x:c r="J241" t="str">
        <x:f>IF($B241="","",IF(COUNTIF(Account_Map!$A$6:$A$31,$B241)&gt;0,"Mapped","UNMAPPED"))</x:f>
      </x:c>
    </x:row>
    <x:row r="242">
      <x:c r="A242" s="290"/>
      <x:c r="F242" s="400"/>
      <x:c r="I242" s="392"/>
      <x:c r="J242" t="str">
        <x:f>IF($B242="","",IF(COUNTIF(Account_Map!$A$6:$A$31,$B242)&gt;0,"Mapped","UNMAPPED"))</x:f>
      </x:c>
    </x:row>
    <x:row r="243">
      <x:c r="A243" s="290"/>
      <x:c r="F243" s="400"/>
      <x:c r="I243" s="392"/>
      <x:c r="J243" t="str">
        <x:f>IF($B243="","",IF(COUNTIF(Account_Map!$A$6:$A$31,$B243)&gt;0,"Mapped","UNMAPPED"))</x:f>
      </x:c>
    </x:row>
    <x:row r="244">
      <x:c r="A244" s="290"/>
      <x:c r="F244" s="400"/>
      <x:c r="I244" s="392"/>
      <x:c r="J244" t="str">
        <x:f>IF($B244="","",IF(COUNTIF(Account_Map!$A$6:$A$31,$B244)&gt;0,"Mapped","UNMAPPED"))</x:f>
      </x:c>
    </x:row>
    <x:row r="245">
      <x:c r="A245" s="290"/>
      <x:c r="F245" s="400"/>
      <x:c r="I245" s="392"/>
      <x:c r="J245" t="str">
        <x:f>IF($B245="","",IF(COUNTIF(Account_Map!$A$6:$A$31,$B245)&gt;0,"Mapped","UNMAPPED"))</x:f>
      </x:c>
    </x:row>
    <x:row r="246">
      <x:c r="A246" s="290"/>
      <x:c r="F246" s="400"/>
      <x:c r="I246" s="392"/>
      <x:c r="J246" t="str">
        <x:f>IF($B246="","",IF(COUNTIF(Account_Map!$A$6:$A$31,$B246)&gt;0,"Mapped","UNMAPPED"))</x:f>
      </x:c>
    </x:row>
    <x:row r="247">
      <x:c r="A247" s="290"/>
      <x:c r="F247" s="400"/>
      <x:c r="I247" s="392"/>
      <x:c r="J247" t="str">
        <x:f>IF($B247="","",IF(COUNTIF(Account_Map!$A$6:$A$31,$B247)&gt;0,"Mapped","UNMAPPED"))</x:f>
      </x:c>
    </x:row>
    <x:row r="248">
      <x:c r="A248" s="290"/>
      <x:c r="F248" s="400"/>
      <x:c r="I248" s="392"/>
      <x:c r="J248" t="str">
        <x:f>IF($B248="","",IF(COUNTIF(Account_Map!$A$6:$A$31,$B248)&gt;0,"Mapped","UNMAPPED"))</x:f>
      </x:c>
    </x:row>
    <x:row r="249">
      <x:c r="A249" s="290"/>
      <x:c r="F249" s="400"/>
      <x:c r="I249" s="392"/>
      <x:c r="J249" t="str">
        <x:f>IF($B249="","",IF(COUNTIF(Account_Map!$A$6:$A$31,$B249)&gt;0,"Mapped","UNMAPPED"))</x:f>
      </x:c>
    </x:row>
    <x:row r="250">
      <x:c r="A250" s="290"/>
      <x:c r="F250" s="400"/>
      <x:c r="I250" s="392"/>
      <x:c r="J250" t="str">
        <x:f>IF($B250="","",IF(COUNTIF(Account_Map!$A$6:$A$31,$B250)&gt;0,"Mapped","UNMAPPED"))</x:f>
      </x:c>
    </x:row>
    <x:row r="251">
      <x:c r="A251" s="290"/>
      <x:c r="F251" s="400"/>
      <x:c r="I251" s="392"/>
      <x:c r="J251" t="str">
        <x:f>IF($B251="","",IF(COUNTIF(Account_Map!$A$6:$A$31,$B251)&gt;0,"Mapped","UNMAPPED"))</x:f>
      </x:c>
    </x:row>
    <x:row r="252">
      <x:c r="A252" s="290"/>
      <x:c r="F252" s="400"/>
      <x:c r="I252" s="392"/>
      <x:c r="J252" t="str">
        <x:f>IF($B252="","",IF(COUNTIF(Account_Map!$A$6:$A$31,$B252)&gt;0,"Mapped","UNMAPPED"))</x:f>
      </x:c>
    </x:row>
    <x:row r="253">
      <x:c r="A253" s="290"/>
      <x:c r="F253" s="400"/>
      <x:c r="I253" s="392"/>
      <x:c r="J253" t="str">
        <x:f>IF($B253="","",IF(COUNTIF(Account_Map!$A$6:$A$31,$B253)&gt;0,"Mapped","UNMAPPED"))</x:f>
      </x:c>
    </x:row>
    <x:row r="254">
      <x:c r="A254" s="290"/>
      <x:c r="F254" s="400"/>
      <x:c r="I254" s="392"/>
      <x:c r="J254" t="str">
        <x:f>IF($B254="","",IF(COUNTIF(Account_Map!$A$6:$A$31,$B254)&gt;0,"Mapped","UNMAPPED"))</x:f>
      </x:c>
    </x:row>
    <x:row r="255">
      <x:c r="A255" s="290"/>
      <x:c r="F255" s="400"/>
      <x:c r="I255" s="392"/>
      <x:c r="J255" t="str">
        <x:f>IF($B255="","",IF(COUNTIF(Account_Map!$A$6:$A$31,$B255)&gt;0,"Mapped","UNMAPPED"))</x:f>
      </x:c>
    </x:row>
    <x:row r="256">
      <x:c r="A256" s="290"/>
      <x:c r="F256" s="400"/>
      <x:c r="I256" s="392"/>
      <x:c r="J256" t="str">
        <x:f>IF($B256="","",IF(COUNTIF(Account_Map!$A$6:$A$31,$B256)&gt;0,"Mapped","UNMAPPED"))</x:f>
      </x:c>
    </x:row>
    <x:row r="257">
      <x:c r="A257" s="290"/>
      <x:c r="F257" s="400"/>
      <x:c r="I257" s="392"/>
      <x:c r="J257" t="str">
        <x:f>IF($B257="","",IF(COUNTIF(Account_Map!$A$6:$A$31,$B257)&gt;0,"Mapped","UNMAPPED"))</x:f>
      </x:c>
    </x:row>
    <x:row r="258">
      <x:c r="A258" s="290"/>
      <x:c r="F258" s="400"/>
      <x:c r="I258" s="392"/>
      <x:c r="J258" t="str">
        <x:f>IF($B258="","",IF(COUNTIF(Account_Map!$A$6:$A$31,$B258)&gt;0,"Mapped","UNMAPPED"))</x:f>
      </x:c>
    </x:row>
    <x:row r="259">
      <x:c r="A259" s="290"/>
      <x:c r="F259" s="400"/>
      <x:c r="I259" s="392"/>
      <x:c r="J259" t="str">
        <x:f>IF($B259="","",IF(COUNTIF(Account_Map!$A$6:$A$31,$B259)&gt;0,"Mapped","UNMAPPED"))</x:f>
      </x:c>
    </x:row>
    <x:row r="260">
      <x:c r="A260" s="290"/>
      <x:c r="F260" s="400"/>
      <x:c r="I260" s="392"/>
      <x:c r="J260" t="str">
        <x:f>IF($B260="","",IF(COUNTIF(Account_Map!$A$6:$A$31,$B260)&gt;0,"Mapped","UNMAPPED"))</x:f>
      </x:c>
    </x:row>
    <x:row r="261">
      <x:c r="A261" s="290"/>
      <x:c r="F261" s="400"/>
      <x:c r="I261" s="392"/>
      <x:c r="J261" t="str">
        <x:f>IF($B261="","",IF(COUNTIF(Account_Map!$A$6:$A$31,$B261)&gt;0,"Mapped","UNMAPPED"))</x:f>
      </x:c>
    </x:row>
    <x:row r="262">
      <x:c r="A262" s="290"/>
      <x:c r="F262" s="400"/>
      <x:c r="I262" s="392"/>
      <x:c r="J262" t="str">
        <x:f>IF($B262="","",IF(COUNTIF(Account_Map!$A$6:$A$31,$B262)&gt;0,"Mapped","UNMAPPED"))</x:f>
      </x:c>
    </x:row>
    <x:row r="263">
      <x:c r="A263" s="290"/>
      <x:c r="F263" s="400"/>
      <x:c r="I263" s="392"/>
      <x:c r="J263" t="str">
        <x:f>IF($B263="","",IF(COUNTIF(Account_Map!$A$6:$A$31,$B263)&gt;0,"Mapped","UNMAPPED"))</x:f>
      </x:c>
    </x:row>
    <x:row r="264">
      <x:c r="A264" s="290"/>
      <x:c r="F264" s="400"/>
      <x:c r="I264" s="392"/>
      <x:c r="J264" t="str">
        <x:f>IF($B264="","",IF(COUNTIF(Account_Map!$A$6:$A$31,$B264)&gt;0,"Mapped","UNMAPPED"))</x:f>
      </x:c>
    </x:row>
    <x:row r="265">
      <x:c r="A265" s="290"/>
      <x:c r="F265" s="400"/>
      <x:c r="I265" s="392"/>
      <x:c r="J265" t="str">
        <x:f>IF($B265="","",IF(COUNTIF(Account_Map!$A$6:$A$31,$B265)&gt;0,"Mapped","UNMAPPED"))</x:f>
      </x:c>
    </x:row>
    <x:row r="266">
      <x:c r="A266" s="290"/>
      <x:c r="F266" s="400"/>
      <x:c r="I266" s="392"/>
      <x:c r="J266" t="str">
        <x:f>IF($B266="","",IF(COUNTIF(Account_Map!$A$6:$A$31,$B266)&gt;0,"Mapped","UNMAPPED"))</x:f>
      </x:c>
    </x:row>
    <x:row r="267">
      <x:c r="A267" s="290"/>
      <x:c r="F267" s="400"/>
      <x:c r="I267" s="392"/>
      <x:c r="J267" t="str">
        <x:f>IF($B267="","",IF(COUNTIF(Account_Map!$A$6:$A$31,$B267)&gt;0,"Mapped","UNMAPPED"))</x:f>
      </x:c>
    </x:row>
    <x:row r="268">
      <x:c r="A268" s="290"/>
      <x:c r="F268" s="400"/>
      <x:c r="I268" s="392"/>
      <x:c r="J268" t="str">
        <x:f>IF($B268="","",IF(COUNTIF(Account_Map!$A$6:$A$31,$B268)&gt;0,"Mapped","UNMAPPED"))</x:f>
      </x:c>
    </x:row>
    <x:row r="269">
      <x:c r="A269" s="290"/>
      <x:c r="F269" s="400"/>
      <x:c r="I269" s="392"/>
      <x:c r="J269" t="str">
        <x:f>IF($B269="","",IF(COUNTIF(Account_Map!$A$6:$A$31,$B269)&gt;0,"Mapped","UNMAPPED"))</x:f>
      </x:c>
    </x:row>
    <x:row r="270">
      <x:c r="A270" s="290"/>
      <x:c r="F270" s="400"/>
      <x:c r="I270" s="392"/>
      <x:c r="J270" t="str">
        <x:f>IF($B270="","",IF(COUNTIF(Account_Map!$A$6:$A$31,$B270)&gt;0,"Mapped","UNMAPPED"))</x:f>
      </x:c>
    </x:row>
    <x:row r="271">
      <x:c r="A271" s="290"/>
      <x:c r="F271" s="400"/>
      <x:c r="I271" s="392"/>
      <x:c r="J271" t="str">
        <x:f>IF($B271="","",IF(COUNTIF(Account_Map!$A$6:$A$31,$B271)&gt;0,"Mapped","UNMAPPED"))</x:f>
      </x:c>
    </x:row>
    <x:row r="272">
      <x:c r="A272" s="290"/>
      <x:c r="F272" s="400"/>
      <x:c r="I272" s="392"/>
      <x:c r="J272" t="str">
        <x:f>IF($B272="","",IF(COUNTIF(Account_Map!$A$6:$A$31,$B272)&gt;0,"Mapped","UNMAPPED"))</x:f>
      </x:c>
    </x:row>
    <x:row r="273">
      <x:c r="A273" s="290"/>
      <x:c r="F273" s="400"/>
      <x:c r="I273" s="392"/>
      <x:c r="J273" t="str">
        <x:f>IF($B273="","",IF(COUNTIF(Account_Map!$A$6:$A$31,$B273)&gt;0,"Mapped","UNMAPPED"))</x:f>
      </x:c>
    </x:row>
    <x:row r="274">
      <x:c r="A274" s="290"/>
      <x:c r="F274" s="400"/>
      <x:c r="I274" s="392"/>
      <x:c r="J274" t="str">
        <x:f>IF($B274="","",IF(COUNTIF(Account_Map!$A$6:$A$31,$B274)&gt;0,"Mapped","UNMAPPED"))</x:f>
      </x:c>
    </x:row>
    <x:row r="275">
      <x:c r="A275" s="290"/>
      <x:c r="F275" s="400"/>
      <x:c r="I275" s="392"/>
      <x:c r="J275" t="str">
        <x:f>IF($B275="","",IF(COUNTIF(Account_Map!$A$6:$A$31,$B275)&gt;0,"Mapped","UNMAPPED"))</x:f>
      </x:c>
    </x:row>
    <x:row r="276">
      <x:c r="A276" s="290"/>
      <x:c r="F276" s="400"/>
      <x:c r="I276" s="392"/>
      <x:c r="J276" t="str">
        <x:f>IF($B276="","",IF(COUNTIF(Account_Map!$A$6:$A$31,$B276)&gt;0,"Mapped","UNMAPPED"))</x:f>
      </x:c>
    </x:row>
    <x:row r="277">
      <x:c r="A277" s="290"/>
      <x:c r="F277" s="400"/>
      <x:c r="I277" s="392"/>
      <x:c r="J277" t="str">
        <x:f>IF($B277="","",IF(COUNTIF(Account_Map!$A$6:$A$31,$B277)&gt;0,"Mapped","UNMAPPED"))</x:f>
      </x:c>
    </x:row>
    <x:row r="278">
      <x:c r="A278" s="290"/>
      <x:c r="F278" s="400"/>
      <x:c r="I278" s="392"/>
      <x:c r="J278" t="str">
        <x:f>IF($B278="","",IF(COUNTIF(Account_Map!$A$6:$A$31,$B278)&gt;0,"Mapped","UNMAPPED"))</x:f>
      </x:c>
    </x:row>
    <x:row r="279">
      <x:c r="A279" s="290"/>
      <x:c r="F279" s="400"/>
      <x:c r="I279" s="392"/>
      <x:c r="J279" t="str">
        <x:f>IF($B279="","",IF(COUNTIF(Account_Map!$A$6:$A$31,$B279)&gt;0,"Mapped","UNMAPPED"))</x:f>
      </x:c>
    </x:row>
    <x:row r="280">
      <x:c r="A280" s="290"/>
      <x:c r="F280" s="400"/>
      <x:c r="I280" s="392"/>
      <x:c r="J280" t="str">
        <x:f>IF($B280="","",IF(COUNTIF(Account_Map!$A$6:$A$31,$B280)&gt;0,"Mapped","UNMAPPED"))</x:f>
      </x:c>
    </x:row>
    <x:row r="281">
      <x:c r="A281" s="290"/>
      <x:c r="F281" s="400"/>
      <x:c r="I281" s="392"/>
      <x:c r="J281" t="str">
        <x:f>IF($B281="","",IF(COUNTIF(Account_Map!$A$6:$A$31,$B281)&gt;0,"Mapped","UNMAPPED"))</x:f>
      </x:c>
    </x:row>
    <x:row r="282">
      <x:c r="A282" s="290"/>
      <x:c r="F282" s="400"/>
      <x:c r="I282" s="392"/>
      <x:c r="J282" t="str">
        <x:f>IF($B282="","",IF(COUNTIF(Account_Map!$A$6:$A$31,$B282)&gt;0,"Mapped","UNMAPPED"))</x:f>
      </x:c>
    </x:row>
    <x:row r="283">
      <x:c r="A283" s="290"/>
      <x:c r="F283" s="400"/>
      <x:c r="I283" s="392"/>
      <x:c r="J283" t="str">
        <x:f>IF($B283="","",IF(COUNTIF(Account_Map!$A$6:$A$31,$B283)&gt;0,"Mapped","UNMAPPED"))</x:f>
      </x:c>
    </x:row>
    <x:row r="284">
      <x:c r="A284" s="290"/>
      <x:c r="F284" s="400"/>
      <x:c r="I284" s="392"/>
      <x:c r="J284" t="str">
        <x:f>IF($B284="","",IF(COUNTIF(Account_Map!$A$6:$A$31,$B284)&gt;0,"Mapped","UNMAPPED"))</x:f>
      </x:c>
    </x:row>
    <x:row r="285">
      <x:c r="A285" s="290"/>
      <x:c r="F285" s="400"/>
      <x:c r="I285" s="392"/>
      <x:c r="J285" t="str">
        <x:f>IF($B285="","",IF(COUNTIF(Account_Map!$A$6:$A$31,$B285)&gt;0,"Mapped","UNMAPPED"))</x:f>
      </x:c>
    </x:row>
    <x:row r="286">
      <x:c r="A286" s="290"/>
      <x:c r="F286" s="400"/>
      <x:c r="I286" s="392"/>
      <x:c r="J286" t="str">
        <x:f>IF($B286="","",IF(COUNTIF(Account_Map!$A$6:$A$31,$B286)&gt;0,"Mapped","UNMAPPED"))</x:f>
      </x:c>
    </x:row>
    <x:row r="287">
      <x:c r="A287" s="290"/>
      <x:c r="F287" s="400"/>
      <x:c r="I287" s="392"/>
      <x:c r="J287" t="str">
        <x:f>IF($B287="","",IF(COUNTIF(Account_Map!$A$6:$A$31,$B287)&gt;0,"Mapped","UNMAPPED"))</x:f>
      </x:c>
    </x:row>
    <x:row r="288">
      <x:c r="A288" s="290"/>
      <x:c r="F288" s="400"/>
      <x:c r="I288" s="392"/>
      <x:c r="J288" t="str">
        <x:f>IF($B288="","",IF(COUNTIF(Account_Map!$A$6:$A$31,$B288)&gt;0,"Mapped","UNMAPPED"))</x:f>
      </x:c>
    </x:row>
    <x:row r="289">
      <x:c r="A289" s="290"/>
      <x:c r="F289" s="400"/>
      <x:c r="I289" s="392"/>
      <x:c r="J289" t="str">
        <x:f>IF($B289="","",IF(COUNTIF(Account_Map!$A$6:$A$31,$B289)&gt;0,"Mapped","UNMAPPED"))</x:f>
      </x:c>
    </x:row>
    <x:row r="290">
      <x:c r="A290" s="290"/>
      <x:c r="F290" s="400"/>
      <x:c r="I290" s="392"/>
      <x:c r="J290" t="str">
        <x:f>IF($B290="","",IF(COUNTIF(Account_Map!$A$6:$A$31,$B290)&gt;0,"Mapped","UNMAPPED"))</x:f>
      </x:c>
    </x:row>
    <x:row r="291">
      <x:c r="A291" s="290"/>
      <x:c r="F291" s="400"/>
      <x:c r="I291" s="392"/>
      <x:c r="J291" t="str">
        <x:f>IF($B291="","",IF(COUNTIF(Account_Map!$A$6:$A$31,$B291)&gt;0,"Mapped","UNMAPPED"))</x:f>
      </x:c>
    </x:row>
    <x:row r="292">
      <x:c r="A292" s="290"/>
      <x:c r="F292" s="400"/>
      <x:c r="I292" s="392"/>
      <x:c r="J292" t="str">
        <x:f>IF($B292="","",IF(COUNTIF(Account_Map!$A$6:$A$31,$B292)&gt;0,"Mapped","UNMAPPED"))</x:f>
      </x:c>
    </x:row>
    <x:row r="293">
      <x:c r="A293" s="290"/>
      <x:c r="F293" s="400"/>
      <x:c r="I293" s="392"/>
      <x:c r="J293" t="str">
        <x:f>IF($B293="","",IF(COUNTIF(Account_Map!$A$6:$A$31,$B293)&gt;0,"Mapped","UNMAPPED"))</x:f>
      </x:c>
    </x:row>
    <x:row r="294">
      <x:c r="A294" s="290"/>
      <x:c r="F294" s="400"/>
      <x:c r="I294" s="392"/>
      <x:c r="J294" t="str">
        <x:f>IF($B294="","",IF(COUNTIF(Account_Map!$A$6:$A$31,$B294)&gt;0,"Mapped","UNMAPPED"))</x:f>
      </x:c>
    </x:row>
    <x:row r="295">
      <x:c r="A295" s="290"/>
      <x:c r="F295" s="400"/>
      <x:c r="I295" s="392"/>
      <x:c r="J295" t="str">
        <x:f>IF($B295="","",IF(COUNTIF(Account_Map!$A$6:$A$31,$B295)&gt;0,"Mapped","UNMAPPED"))</x:f>
      </x:c>
    </x:row>
    <x:row r="296">
      <x:c r="A296" s="290"/>
      <x:c r="F296" s="400"/>
      <x:c r="I296" s="392"/>
      <x:c r="J296" t="str">
        <x:f>IF($B296="","",IF(COUNTIF(Account_Map!$A$6:$A$31,$B296)&gt;0,"Mapped","UNMAPPED"))</x:f>
      </x:c>
    </x:row>
    <x:row r="297">
      <x:c r="A297" s="290"/>
      <x:c r="F297" s="400"/>
      <x:c r="I297" s="392"/>
      <x:c r="J297" t="str">
        <x:f>IF($B297="","",IF(COUNTIF(Account_Map!$A$6:$A$31,$B297)&gt;0,"Mapped","UNMAPPED"))</x:f>
      </x:c>
    </x:row>
    <x:row r="298">
      <x:c r="A298" s="290"/>
      <x:c r="F298" s="400"/>
      <x:c r="I298" s="392"/>
      <x:c r="J298" t="str">
        <x:f>IF($B298="","",IF(COUNTIF(Account_Map!$A$6:$A$31,$B298)&gt;0,"Mapped","UNMAPPED"))</x:f>
      </x:c>
    </x:row>
    <x:row r="299">
      <x:c r="A299" s="290"/>
      <x:c r="F299" s="400"/>
      <x:c r="I299" s="392"/>
      <x:c r="J299" t="str">
        <x:f>IF($B299="","",IF(COUNTIF(Account_Map!$A$6:$A$31,$B299)&gt;0,"Mapped","UNMAPPED"))</x:f>
      </x:c>
    </x:row>
    <x:row r="300">
      <x:c r="A300" s="290"/>
      <x:c r="F300" s="400"/>
      <x:c r="I300" s="392"/>
      <x:c r="J300" t="str">
        <x:f>IF($B300="","",IF(COUNTIF(Account_Map!$A$6:$A$31,$B300)&gt;0,"Mapped","UNMAPPED"))</x:f>
      </x:c>
    </x:row>
    <x:row r="301">
      <x:c r="A301" s="290"/>
      <x:c r="F301" s="400"/>
      <x:c r="I301" s="392"/>
      <x:c r="J301" t="str">
        <x:f>IF($B301="","",IF(COUNTIF(Account_Map!$A$6:$A$31,$B301)&gt;0,"Mapped","UNMAPPED"))</x:f>
      </x:c>
    </x:row>
    <x:row r="302">
      <x:c r="A302" s="290"/>
      <x:c r="F302" s="400"/>
      <x:c r="I302" s="392"/>
      <x:c r="J302" t="str">
        <x:f>IF($B302="","",IF(COUNTIF(Account_Map!$A$6:$A$31,$B302)&gt;0,"Mapped","UNMAPPED"))</x:f>
      </x:c>
    </x:row>
    <x:row r="303">
      <x:c r="A303" s="290"/>
      <x:c r="F303" s="400"/>
      <x:c r="I303" s="392"/>
      <x:c r="J303" t="str">
        <x:f>IF($B303="","",IF(COUNTIF(Account_Map!$A$6:$A$31,$B303)&gt;0,"Mapped","UNMAPPED"))</x:f>
      </x:c>
    </x:row>
    <x:row r="304">
      <x:c r="A304" s="290"/>
      <x:c r="F304" s="400"/>
      <x:c r="I304" s="392"/>
      <x:c r="J304" t="str">
        <x:f>IF($B304="","",IF(COUNTIF(Account_Map!$A$6:$A$31,$B304)&gt;0,"Mapped","UNMAPPED"))</x:f>
      </x:c>
    </x:row>
    <x:row r="305">
      <x:c r="A305" s="290"/>
      <x:c r="F305" s="400"/>
      <x:c r="I305" s="392"/>
      <x:c r="J305" t="str">
        <x:f>IF($B305="","",IF(COUNTIF(Account_Map!$A$6:$A$31,$B305)&gt;0,"Mapped","UNMAPPED"))</x:f>
      </x:c>
    </x:row>
    <x:row r="306">
      <x:c r="A306" s="290"/>
      <x:c r="F306" s="400"/>
      <x:c r="I306" s="392"/>
      <x:c r="J306" t="str">
        <x:f>IF($B306="","",IF(COUNTIF(Account_Map!$A$6:$A$31,$B306)&gt;0,"Mapped","UNMAPPED"))</x:f>
      </x:c>
    </x:row>
    <x:row r="307">
      <x:c r="A307" s="290"/>
      <x:c r="F307" s="400"/>
      <x:c r="I307" s="392"/>
      <x:c r="J307" t="str">
        <x:f>IF($B307="","",IF(COUNTIF(Account_Map!$A$6:$A$31,$B307)&gt;0,"Mapped","UNMAPPED"))</x:f>
      </x:c>
    </x:row>
    <x:row r="308">
      <x:c r="A308" s="290"/>
      <x:c r="F308" s="400"/>
      <x:c r="I308" s="392"/>
      <x:c r="J308" t="str">
        <x:f>IF($B308="","",IF(COUNTIF(Account_Map!$A$6:$A$31,$B308)&gt;0,"Mapped","UNMAPPED"))</x:f>
      </x:c>
    </x:row>
    <x:row r="309">
      <x:c r="A309" s="290"/>
      <x:c r="F309" s="400"/>
      <x:c r="I309" s="392"/>
      <x:c r="J309" t="str">
        <x:f>IF($B309="","",IF(COUNTIF(Account_Map!$A$6:$A$31,$B309)&gt;0,"Mapped","UNMAPPED"))</x:f>
      </x:c>
    </x:row>
    <x:row r="310">
      <x:c r="A310" s="290"/>
      <x:c r="F310" s="400"/>
      <x:c r="I310" s="392"/>
      <x:c r="J310" t="str">
        <x:f>IF($B310="","",IF(COUNTIF(Account_Map!$A$6:$A$31,$B310)&gt;0,"Mapped","UNMAPPED"))</x:f>
      </x:c>
    </x:row>
    <x:row r="311">
      <x:c r="A311" s="290"/>
      <x:c r="F311" s="400"/>
      <x:c r="I311" s="392"/>
      <x:c r="J311" t="str">
        <x:f>IF($B311="","",IF(COUNTIF(Account_Map!$A$6:$A$31,$B311)&gt;0,"Mapped","UNMAPPED"))</x:f>
      </x:c>
    </x:row>
    <x:row r="312">
      <x:c r="A312" s="290"/>
      <x:c r="F312" s="400"/>
      <x:c r="I312" s="392"/>
      <x:c r="J312" t="str">
        <x:f>IF($B312="","",IF(COUNTIF(Account_Map!$A$6:$A$31,$B312)&gt;0,"Mapped","UNMAPPED"))</x:f>
      </x:c>
    </x:row>
    <x:row r="313">
      <x:c r="A313" s="290"/>
      <x:c r="F313" s="400"/>
      <x:c r="I313" s="392"/>
      <x:c r="J313" t="str">
        <x:f>IF($B313="","",IF(COUNTIF(Account_Map!$A$6:$A$31,$B313)&gt;0,"Mapped","UNMAPPED"))</x:f>
      </x:c>
    </x:row>
    <x:row r="314">
      <x:c r="A314" s="290"/>
      <x:c r="F314" s="400"/>
      <x:c r="I314" s="392"/>
      <x:c r="J314" t="str">
        <x:f>IF($B314="","",IF(COUNTIF(Account_Map!$A$6:$A$31,$B314)&gt;0,"Mapped","UNMAPPED"))</x:f>
      </x:c>
    </x:row>
    <x:row r="315">
      <x:c r="A315" s="290"/>
      <x:c r="F315" s="400"/>
      <x:c r="I315" s="392"/>
      <x:c r="J315" t="str">
        <x:f>IF($B315="","",IF(COUNTIF(Account_Map!$A$6:$A$31,$B315)&gt;0,"Mapped","UNMAPPED"))</x:f>
      </x:c>
    </x:row>
    <x:row r="316">
      <x:c r="A316" s="290"/>
      <x:c r="F316" s="400"/>
      <x:c r="I316" s="392"/>
      <x:c r="J316" t="str">
        <x:f>IF($B316="","",IF(COUNTIF(Account_Map!$A$6:$A$31,$B316)&gt;0,"Mapped","UNMAPPED"))</x:f>
      </x:c>
    </x:row>
    <x:row r="317">
      <x:c r="A317" s="290"/>
      <x:c r="F317" s="400"/>
      <x:c r="I317" s="392"/>
      <x:c r="J317" t="str">
        <x:f>IF($B317="","",IF(COUNTIF(Account_Map!$A$6:$A$31,$B317)&gt;0,"Mapped","UNMAPPED"))</x:f>
      </x:c>
    </x:row>
    <x:row r="318">
      <x:c r="A318" s="290"/>
      <x:c r="F318" s="400"/>
      <x:c r="I318" s="392"/>
      <x:c r="J318" t="str">
        <x:f>IF($B318="","",IF(COUNTIF(Account_Map!$A$6:$A$31,$B318)&gt;0,"Mapped","UNMAPPED"))</x:f>
      </x:c>
    </x:row>
    <x:row r="319">
      <x:c r="A319" s="290"/>
      <x:c r="F319" s="400"/>
      <x:c r="I319" s="392"/>
      <x:c r="J319" t="str">
        <x:f>IF($B319="","",IF(COUNTIF(Account_Map!$A$6:$A$31,$B319)&gt;0,"Mapped","UNMAPPED"))</x:f>
      </x:c>
    </x:row>
    <x:row r="320">
      <x:c r="A320" s="290"/>
      <x:c r="F320" s="400"/>
      <x:c r="I320" s="392"/>
      <x:c r="J320" t="str">
        <x:f>IF($B320="","",IF(COUNTIF(Account_Map!$A$6:$A$31,$B320)&gt;0,"Mapped","UNMAPPED"))</x:f>
      </x:c>
    </x:row>
    <x:row r="321">
      <x:c r="A321" s="290"/>
      <x:c r="F321" s="400"/>
      <x:c r="I321" s="392"/>
      <x:c r="J321" t="str">
        <x:f>IF($B321="","",IF(COUNTIF(Account_Map!$A$6:$A$31,$B321)&gt;0,"Mapped","UNMAPPED"))</x:f>
      </x:c>
    </x:row>
    <x:row r="322">
      <x:c r="A322" s="290"/>
      <x:c r="F322" s="400"/>
      <x:c r="I322" s="392"/>
      <x:c r="J322" t="str">
        <x:f>IF($B322="","",IF(COUNTIF(Account_Map!$A$6:$A$31,$B322)&gt;0,"Mapped","UNMAPPED"))</x:f>
      </x:c>
    </x:row>
    <x:row r="323">
      <x:c r="A323" s="290"/>
      <x:c r="F323" s="400"/>
      <x:c r="I323" s="392"/>
      <x:c r="J323" t="str">
        <x:f>IF($B323="","",IF(COUNTIF(Account_Map!$A$6:$A$31,$B323)&gt;0,"Mapped","UNMAPPED"))</x:f>
      </x:c>
    </x:row>
    <x:row r="324">
      <x:c r="A324" s="290"/>
      <x:c r="F324" s="400"/>
      <x:c r="I324" s="392"/>
      <x:c r="J324" t="str">
        <x:f>IF($B324="","",IF(COUNTIF(Account_Map!$A$6:$A$31,$B324)&gt;0,"Mapped","UNMAPPED"))</x:f>
      </x:c>
    </x:row>
    <x:row r="325">
      <x:c r="A325" s="290"/>
      <x:c r="F325" s="400"/>
      <x:c r="I325" s="392"/>
      <x:c r="J325" t="str">
        <x:f>IF($B325="","",IF(COUNTIF(Account_Map!$A$6:$A$31,$B325)&gt;0,"Mapped","UNMAPPED"))</x:f>
      </x:c>
    </x:row>
    <x:row r="326">
      <x:c r="A326" s="290"/>
      <x:c r="F326" s="400"/>
      <x:c r="I326" s="392"/>
      <x:c r="J326" t="str">
        <x:f>IF($B326="","",IF(COUNTIF(Account_Map!$A$6:$A$31,$B326)&gt;0,"Mapped","UNMAPPED"))</x:f>
      </x:c>
    </x:row>
    <x:row r="327">
      <x:c r="A327" s="290"/>
      <x:c r="F327" s="400"/>
      <x:c r="I327" s="392"/>
      <x:c r="J327" t="str">
        <x:f>IF($B327="","",IF(COUNTIF(Account_Map!$A$6:$A$31,$B327)&gt;0,"Mapped","UNMAPPED"))</x:f>
      </x:c>
    </x:row>
    <x:row r="328">
      <x:c r="A328" s="290"/>
      <x:c r="F328" s="400"/>
      <x:c r="I328" s="392"/>
      <x:c r="J328" t="str">
        <x:f>IF($B328="","",IF(COUNTIF(Account_Map!$A$6:$A$31,$B328)&gt;0,"Mapped","UNMAPPED"))</x:f>
      </x:c>
    </x:row>
    <x:row r="329">
      <x:c r="A329" s="290"/>
      <x:c r="F329" s="400"/>
      <x:c r="I329" s="392"/>
      <x:c r="J329" t="str">
        <x:f>IF($B329="","",IF(COUNTIF(Account_Map!$A$6:$A$31,$B329)&gt;0,"Mapped","UNMAPPED"))</x:f>
      </x:c>
    </x:row>
    <x:row r="330">
      <x:c r="A330" s="290"/>
      <x:c r="F330" s="400"/>
      <x:c r="I330" s="392"/>
      <x:c r="J330" t="str">
        <x:f>IF($B330="","",IF(COUNTIF(Account_Map!$A$6:$A$31,$B330)&gt;0,"Mapped","UNMAPPED"))</x:f>
      </x:c>
    </x:row>
    <x:row r="331">
      <x:c r="A331" s="290"/>
      <x:c r="F331" s="400"/>
      <x:c r="I331" s="392"/>
      <x:c r="J331" t="str">
        <x:f>IF($B331="","",IF(COUNTIF(Account_Map!$A$6:$A$31,$B331)&gt;0,"Mapped","UNMAPPED"))</x:f>
      </x:c>
    </x:row>
    <x:row r="332">
      <x:c r="A332" s="290"/>
      <x:c r="F332" s="400"/>
      <x:c r="I332" s="392"/>
      <x:c r="J332" t="str">
        <x:f>IF($B332="","",IF(COUNTIF(Account_Map!$A$6:$A$31,$B332)&gt;0,"Mapped","UNMAPPED"))</x:f>
      </x:c>
    </x:row>
    <x:row r="333">
      <x:c r="A333" s="290"/>
      <x:c r="F333" s="400"/>
      <x:c r="I333" s="392"/>
      <x:c r="J333" t="str">
        <x:f>IF($B333="","",IF(COUNTIF(Account_Map!$A$6:$A$31,$B333)&gt;0,"Mapped","UNMAPPED"))</x:f>
      </x:c>
    </x:row>
    <x:row r="334">
      <x:c r="A334" s="290"/>
      <x:c r="F334" s="400"/>
      <x:c r="I334" s="392"/>
      <x:c r="J334" t="str">
        <x:f>IF($B334="","",IF(COUNTIF(Account_Map!$A$6:$A$31,$B334)&gt;0,"Mapped","UNMAPPED"))</x:f>
      </x:c>
    </x:row>
    <x:row r="335">
      <x:c r="A335" s="290"/>
      <x:c r="F335" s="400"/>
      <x:c r="I335" s="392"/>
      <x:c r="J335" t="str">
        <x:f>IF($B335="","",IF(COUNTIF(Account_Map!$A$6:$A$31,$B335)&gt;0,"Mapped","UNMAPPED"))</x:f>
      </x:c>
    </x:row>
    <x:row r="336">
      <x:c r="A336" s="290"/>
      <x:c r="F336" s="400"/>
      <x:c r="I336" s="392"/>
      <x:c r="J336" t="str">
        <x:f>IF($B336="","",IF(COUNTIF(Account_Map!$A$6:$A$31,$B336)&gt;0,"Mapped","UNMAPPED"))</x:f>
      </x:c>
    </x:row>
    <x:row r="337">
      <x:c r="A337" s="290"/>
      <x:c r="F337" s="400"/>
      <x:c r="I337" s="392"/>
      <x:c r="J337" t="str">
        <x:f>IF($B337="","",IF(COUNTIF(Account_Map!$A$6:$A$31,$B337)&gt;0,"Mapped","UNMAPPED"))</x:f>
      </x:c>
    </x:row>
    <x:row r="338">
      <x:c r="A338" s="290"/>
      <x:c r="F338" s="400"/>
      <x:c r="I338" s="392"/>
      <x:c r="J338" t="str">
        <x:f>IF($B338="","",IF(COUNTIF(Account_Map!$A$6:$A$31,$B338)&gt;0,"Mapped","UNMAPPED"))</x:f>
      </x:c>
    </x:row>
    <x:row r="339">
      <x:c r="A339" s="290"/>
      <x:c r="F339" s="400"/>
      <x:c r="I339" s="392"/>
      <x:c r="J339" t="str">
        <x:f>IF($B339="","",IF(COUNTIF(Account_Map!$A$6:$A$31,$B339)&gt;0,"Mapped","UNMAPPED"))</x:f>
      </x:c>
    </x:row>
    <x:row r="340">
      <x:c r="A340" s="290"/>
      <x:c r="F340" s="400"/>
      <x:c r="I340" s="392"/>
      <x:c r="J340" t="str">
        <x:f>IF($B340="","",IF(COUNTIF(Account_Map!$A$6:$A$31,$B340)&gt;0,"Mapped","UNMAPPED"))</x:f>
      </x:c>
    </x:row>
    <x:row r="341">
      <x:c r="A341" s="290"/>
      <x:c r="F341" s="400"/>
      <x:c r="I341" s="392"/>
      <x:c r="J341" t="str">
        <x:f>IF($B341="","",IF(COUNTIF(Account_Map!$A$6:$A$31,$B341)&gt;0,"Mapped","UNMAPPED"))</x:f>
      </x:c>
    </x:row>
    <x:row r="342">
      <x:c r="A342" s="290"/>
      <x:c r="F342" s="400"/>
      <x:c r="I342" s="392"/>
      <x:c r="J342" t="str">
        <x:f>IF($B342="","",IF(COUNTIF(Account_Map!$A$6:$A$31,$B342)&gt;0,"Mapped","UNMAPPED"))</x:f>
      </x:c>
    </x:row>
    <x:row r="343">
      <x:c r="A343" s="290"/>
      <x:c r="F343" s="400"/>
      <x:c r="I343" s="392"/>
      <x:c r="J343" t="str">
        <x:f>IF($B343="","",IF(COUNTIF(Account_Map!$A$6:$A$31,$B343)&gt;0,"Mapped","UNMAPPED"))</x:f>
      </x:c>
    </x:row>
    <x:row r="344">
      <x:c r="A344" s="290"/>
      <x:c r="F344" s="400"/>
      <x:c r="I344" s="392"/>
      <x:c r="J344" t="str">
        <x:f>IF($B344="","",IF(COUNTIF(Account_Map!$A$6:$A$31,$B344)&gt;0,"Mapped","UNMAPPED"))</x:f>
      </x:c>
    </x:row>
    <x:row r="345">
      <x:c r="A345" s="290"/>
      <x:c r="F345" s="400"/>
      <x:c r="I345" s="392"/>
      <x:c r="J345" t="str">
        <x:f>IF($B345="","",IF(COUNTIF(Account_Map!$A$6:$A$31,$B345)&gt;0,"Mapped","UNMAPPED"))</x:f>
      </x:c>
    </x:row>
    <x:row r="346">
      <x:c r="A346" s="290"/>
      <x:c r="F346" s="400"/>
      <x:c r="I346" s="392"/>
      <x:c r="J346" t="str">
        <x:f>IF($B346="","",IF(COUNTIF(Account_Map!$A$6:$A$31,$B346)&gt;0,"Mapped","UNMAPPED"))</x:f>
      </x:c>
    </x:row>
    <x:row r="347">
      <x:c r="A347" s="290"/>
      <x:c r="F347" s="400"/>
      <x:c r="I347" s="392"/>
      <x:c r="J347" t="str">
        <x:f>IF($B347="","",IF(COUNTIF(Account_Map!$A$6:$A$31,$B347)&gt;0,"Mapped","UNMAPPED"))</x:f>
      </x:c>
    </x:row>
    <x:row r="348">
      <x:c r="A348" s="290"/>
      <x:c r="F348" s="400"/>
      <x:c r="I348" s="392"/>
      <x:c r="J348" t="str">
        <x:f>IF($B348="","",IF(COUNTIF(Account_Map!$A$6:$A$31,$B348)&gt;0,"Mapped","UNMAPPED"))</x:f>
      </x:c>
    </x:row>
    <x:row r="349">
      <x:c r="A349" s="290"/>
      <x:c r="F349" s="400"/>
      <x:c r="I349" s="392"/>
      <x:c r="J349" t="str">
        <x:f>IF($B349="","",IF(COUNTIF(Account_Map!$A$6:$A$31,$B349)&gt;0,"Mapped","UNMAPPED"))</x:f>
      </x:c>
    </x:row>
    <x:row r="350">
      <x:c r="A350" s="290"/>
      <x:c r="F350" s="400"/>
      <x:c r="I350" s="392"/>
      <x:c r="J350" t="str">
        <x:f>IF($B350="","",IF(COUNTIF(Account_Map!$A$6:$A$31,$B350)&gt;0,"Mapped","UNMAPPED"))</x:f>
      </x:c>
    </x:row>
    <x:row r="351">
      <x:c r="A351" s="290"/>
      <x:c r="F351" s="400"/>
      <x:c r="I351" s="392"/>
      <x:c r="J351" t="str">
        <x:f>IF($B351="","",IF(COUNTIF(Account_Map!$A$6:$A$31,$B351)&gt;0,"Mapped","UNMAPPED"))</x:f>
      </x:c>
    </x:row>
    <x:row r="352">
      <x:c r="A352" s="290"/>
      <x:c r="F352" s="400"/>
      <x:c r="I352" s="392"/>
      <x:c r="J352" t="str">
        <x:f>IF($B352="","",IF(COUNTIF(Account_Map!$A$6:$A$31,$B352)&gt;0,"Mapped","UNMAPPED"))</x:f>
      </x:c>
    </x:row>
    <x:row r="353">
      <x:c r="A353" s="290"/>
      <x:c r="F353" s="400"/>
      <x:c r="I353" s="392"/>
      <x:c r="J353" t="str">
        <x:f>IF($B353="","",IF(COUNTIF(Account_Map!$A$6:$A$31,$B353)&gt;0,"Mapped","UNMAPPED"))</x:f>
      </x:c>
    </x:row>
    <x:row r="354">
      <x:c r="A354" s="290"/>
      <x:c r="F354" s="400"/>
      <x:c r="I354" s="392"/>
      <x:c r="J354" t="str">
        <x:f>IF($B354="","",IF(COUNTIF(Account_Map!$A$6:$A$31,$B354)&gt;0,"Mapped","UNMAPPED"))</x:f>
      </x:c>
    </x:row>
    <x:row r="355">
      <x:c r="A355" s="290"/>
      <x:c r="F355" s="400"/>
      <x:c r="I355" s="392"/>
      <x:c r="J355" t="str">
        <x:f>IF($B355="","",IF(COUNTIF(Account_Map!$A$6:$A$31,$B355)&gt;0,"Mapped","UNMAPPED"))</x:f>
      </x:c>
    </x:row>
    <x:row r="356">
      <x:c r="A356" s="290"/>
      <x:c r="F356" s="400"/>
      <x:c r="I356" s="392"/>
      <x:c r="J356" t="str">
        <x:f>IF($B356="","",IF(COUNTIF(Account_Map!$A$6:$A$31,$B356)&gt;0,"Mapped","UNMAPPED"))</x:f>
      </x:c>
    </x:row>
    <x:row r="357">
      <x:c r="A357" s="290"/>
      <x:c r="F357" s="400"/>
      <x:c r="I357" s="392"/>
      <x:c r="J357" t="str">
        <x:f>IF($B357="","",IF(COUNTIF(Account_Map!$A$6:$A$31,$B357)&gt;0,"Mapped","UNMAPPED"))</x:f>
      </x:c>
    </x:row>
    <x:row r="358">
      <x:c r="A358" s="290"/>
      <x:c r="F358" s="400"/>
      <x:c r="I358" s="392"/>
      <x:c r="J358" t="str">
        <x:f>IF($B358="","",IF(COUNTIF(Account_Map!$A$6:$A$31,$B358)&gt;0,"Mapped","UNMAPPED"))</x:f>
      </x:c>
    </x:row>
    <x:row r="359">
      <x:c r="A359" s="290"/>
      <x:c r="F359" s="400"/>
      <x:c r="I359" s="392"/>
      <x:c r="J359" t="str">
        <x:f>IF($B359="","",IF(COUNTIF(Account_Map!$A$6:$A$31,$B359)&gt;0,"Mapped","UNMAPPED"))</x:f>
      </x:c>
    </x:row>
    <x:row r="360">
      <x:c r="A360" s="290"/>
      <x:c r="F360" s="400"/>
      <x:c r="I360" s="392"/>
      <x:c r="J360" t="str">
        <x:f>IF($B360="","",IF(COUNTIF(Account_Map!$A$6:$A$31,$B360)&gt;0,"Mapped","UNMAPPED"))</x:f>
      </x:c>
    </x:row>
    <x:row r="361">
      <x:c r="A361" s="290"/>
      <x:c r="F361" s="400"/>
      <x:c r="I361" s="392"/>
      <x:c r="J361" t="str">
        <x:f>IF($B361="","",IF(COUNTIF(Account_Map!$A$6:$A$31,$B361)&gt;0,"Mapped","UNMAPPED"))</x:f>
      </x:c>
    </x:row>
    <x:row r="362">
      <x:c r="A362" s="290"/>
      <x:c r="F362" s="400"/>
      <x:c r="I362" s="392"/>
      <x:c r="J362" t="str">
        <x:f>IF($B362="","",IF(COUNTIF(Account_Map!$A$6:$A$31,$B362)&gt;0,"Mapped","UNMAPPED"))</x:f>
      </x:c>
    </x:row>
    <x:row r="363">
      <x:c r="A363" s="290"/>
      <x:c r="F363" s="400"/>
      <x:c r="I363" s="392"/>
      <x:c r="J363" t="str">
        <x:f>IF($B363="","",IF(COUNTIF(Account_Map!$A$6:$A$31,$B363)&gt;0,"Mapped","UNMAPPED"))</x:f>
      </x:c>
    </x:row>
    <x:row r="364">
      <x:c r="A364" s="290"/>
      <x:c r="F364" s="400"/>
      <x:c r="I364" s="392"/>
      <x:c r="J364" t="str">
        <x:f>IF($B364="","",IF(COUNTIF(Account_Map!$A$6:$A$31,$B364)&gt;0,"Mapped","UNMAPPED"))</x:f>
      </x:c>
    </x:row>
    <x:row r="365">
      <x:c r="A365" s="290"/>
      <x:c r="F365" s="400"/>
      <x:c r="I365" s="392"/>
      <x:c r="J365" t="str">
        <x:f>IF($B365="","",IF(COUNTIF(Account_Map!$A$6:$A$31,$B365)&gt;0,"Mapped","UNMAPPED"))</x:f>
      </x:c>
    </x:row>
    <x:row r="366">
      <x:c r="A366" s="290"/>
      <x:c r="F366" s="400"/>
      <x:c r="I366" s="392"/>
      <x:c r="J366" t="str">
        <x:f>IF($B366="","",IF(COUNTIF(Account_Map!$A$6:$A$31,$B366)&gt;0,"Mapped","UNMAPPED"))</x:f>
      </x:c>
    </x:row>
    <x:row r="367">
      <x:c r="A367" s="290"/>
      <x:c r="F367" s="400"/>
      <x:c r="I367" s="392"/>
      <x:c r="J367" t="str">
        <x:f>IF($B367="","",IF(COUNTIF(Account_Map!$A$6:$A$31,$B367)&gt;0,"Mapped","UNMAPPED"))</x:f>
      </x:c>
    </x:row>
    <x:row r="368">
      <x:c r="A368" s="290"/>
      <x:c r="F368" s="400"/>
      <x:c r="I368" s="392"/>
      <x:c r="J368" t="str">
        <x:f>IF($B368="","",IF(COUNTIF(Account_Map!$A$6:$A$31,$B368)&gt;0,"Mapped","UNMAPPED"))</x:f>
      </x:c>
    </x:row>
    <x:row r="369">
      <x:c r="A369" s="290"/>
      <x:c r="F369" s="400"/>
      <x:c r="I369" s="392"/>
      <x:c r="J369" t="str">
        <x:f>IF($B369="","",IF(COUNTIF(Account_Map!$A$6:$A$31,$B369)&gt;0,"Mapped","UNMAPPED"))</x:f>
      </x:c>
    </x:row>
    <x:row r="370">
      <x:c r="A370" s="290"/>
      <x:c r="F370" s="400"/>
      <x:c r="I370" s="392"/>
      <x:c r="J370" t="str">
        <x:f>IF($B370="","",IF(COUNTIF(Account_Map!$A$6:$A$31,$B370)&gt;0,"Mapped","UNMAPPED"))</x:f>
      </x:c>
    </x:row>
    <x:row r="371">
      <x:c r="A371" s="290"/>
      <x:c r="F371" s="400"/>
      <x:c r="I371" s="392"/>
      <x:c r="J371" t="str">
        <x:f>IF($B371="","",IF(COUNTIF(Account_Map!$A$6:$A$31,$B371)&gt;0,"Mapped","UNMAPPED"))</x:f>
      </x:c>
    </x:row>
    <x:row r="372">
      <x:c r="A372" s="290"/>
      <x:c r="F372" s="400"/>
      <x:c r="I372" s="392"/>
      <x:c r="J372" t="str">
        <x:f>IF($B372="","",IF(COUNTIF(Account_Map!$A$6:$A$31,$B372)&gt;0,"Mapped","UNMAPPED"))</x:f>
      </x:c>
    </x:row>
    <x:row r="373">
      <x:c r="A373" s="290"/>
      <x:c r="F373" s="400"/>
      <x:c r="I373" s="392"/>
      <x:c r="J373" t="str">
        <x:f>IF($B373="","",IF(COUNTIF(Account_Map!$A$6:$A$31,$B373)&gt;0,"Mapped","UNMAPPED"))</x:f>
      </x:c>
    </x:row>
    <x:row r="374">
      <x:c r="A374" s="290"/>
      <x:c r="F374" s="400"/>
      <x:c r="I374" s="392"/>
      <x:c r="J374" t="str">
        <x:f>IF($B374="","",IF(COUNTIF(Account_Map!$A$6:$A$31,$B374)&gt;0,"Mapped","UNMAPPED"))</x:f>
      </x:c>
    </x:row>
    <x:row r="375">
      <x:c r="A375" s="290"/>
      <x:c r="F375" s="400"/>
      <x:c r="I375" s="392"/>
      <x:c r="J375" t="str">
        <x:f>IF($B375="","",IF(COUNTIF(Account_Map!$A$6:$A$31,$B375)&gt;0,"Mapped","UNMAPPED"))</x:f>
      </x:c>
    </x:row>
    <x:row r="376">
      <x:c r="A376" s="290"/>
      <x:c r="F376" s="400"/>
      <x:c r="I376" s="392"/>
      <x:c r="J376" t="str">
        <x:f>IF($B376="","",IF(COUNTIF(Account_Map!$A$6:$A$31,$B376)&gt;0,"Mapped","UNMAPPED"))</x:f>
      </x:c>
    </x:row>
    <x:row r="377">
      <x:c r="A377" s="290"/>
      <x:c r="F377" s="400"/>
      <x:c r="I377" s="392"/>
      <x:c r="J377" t="str">
        <x:f>IF($B377="","",IF(COUNTIF(Account_Map!$A$6:$A$31,$B377)&gt;0,"Mapped","UNMAPPED"))</x:f>
      </x:c>
    </x:row>
    <x:row r="378">
      <x:c r="A378" s="290"/>
      <x:c r="F378" s="400"/>
      <x:c r="I378" s="392"/>
      <x:c r="J378" t="str">
        <x:f>IF($B378="","",IF(COUNTIF(Account_Map!$A$6:$A$31,$B378)&gt;0,"Mapped","UNMAPPED"))</x:f>
      </x:c>
    </x:row>
    <x:row r="379">
      <x:c r="A379" s="290"/>
      <x:c r="F379" s="400"/>
      <x:c r="I379" s="392"/>
      <x:c r="J379" t="str">
        <x:f>IF($B379="","",IF(COUNTIF(Account_Map!$A$6:$A$31,$B379)&gt;0,"Mapped","UNMAPPED"))</x:f>
      </x:c>
    </x:row>
    <x:row r="380">
      <x:c r="A380" s="290"/>
      <x:c r="F380" s="400"/>
      <x:c r="I380" s="392"/>
      <x:c r="J380" t="str">
        <x:f>IF($B380="","",IF(COUNTIF(Account_Map!$A$6:$A$31,$B380)&gt;0,"Mapped","UNMAPPED"))</x:f>
      </x:c>
    </x:row>
    <x:row r="381">
      <x:c r="A381" s="290"/>
      <x:c r="F381" s="400"/>
      <x:c r="I381" s="392"/>
      <x:c r="J381" t="str">
        <x:f>IF($B381="","",IF(COUNTIF(Account_Map!$A$6:$A$31,$B381)&gt;0,"Mapped","UNMAPPED"))</x:f>
      </x:c>
    </x:row>
    <x:row r="382">
      <x:c r="A382" s="290"/>
      <x:c r="F382" s="400"/>
      <x:c r="I382" s="392"/>
      <x:c r="J382" t="str">
        <x:f>IF($B382="","",IF(COUNTIF(Account_Map!$A$6:$A$31,$B382)&gt;0,"Mapped","UNMAPPED"))</x:f>
      </x:c>
    </x:row>
    <x:row r="383">
      <x:c r="A383" s="290"/>
      <x:c r="F383" s="400"/>
      <x:c r="I383" s="392"/>
      <x:c r="J383" t="str">
        <x:f>IF($B383="","",IF(COUNTIF(Account_Map!$A$6:$A$31,$B383)&gt;0,"Mapped","UNMAPPED"))</x:f>
      </x:c>
    </x:row>
    <x:row r="384">
      <x:c r="A384" s="290"/>
      <x:c r="F384" s="400"/>
      <x:c r="I384" s="392"/>
      <x:c r="J384" t="str">
        <x:f>IF($B384="","",IF(COUNTIF(Account_Map!$A$6:$A$31,$B384)&gt;0,"Mapped","UNMAPPED"))</x:f>
      </x:c>
    </x:row>
    <x:row r="385">
      <x:c r="A385" s="290"/>
      <x:c r="F385" s="400"/>
      <x:c r="I385" s="392"/>
      <x:c r="J385" t="str">
        <x:f>IF($B385="","",IF(COUNTIF(Account_Map!$A$6:$A$31,$B385)&gt;0,"Mapped","UNMAPPED"))</x:f>
      </x:c>
    </x:row>
    <x:row r="386">
      <x:c r="A386" s="290"/>
      <x:c r="F386" s="400"/>
      <x:c r="I386" s="392"/>
      <x:c r="J386" t="str">
        <x:f>IF($B386="","",IF(COUNTIF(Account_Map!$A$6:$A$31,$B386)&gt;0,"Mapped","UNMAPPED"))</x:f>
      </x:c>
    </x:row>
    <x:row r="387">
      <x:c r="A387" s="290"/>
      <x:c r="F387" s="400"/>
      <x:c r="I387" s="392"/>
      <x:c r="J387" t="str">
        <x:f>IF($B387="","",IF(COUNTIF(Account_Map!$A$6:$A$31,$B387)&gt;0,"Mapped","UNMAPPED"))</x:f>
      </x:c>
    </x:row>
    <x:row r="388">
      <x:c r="A388" s="290"/>
      <x:c r="F388" s="400"/>
      <x:c r="I388" s="392"/>
      <x:c r="J388" t="str">
        <x:f>IF($B388="","",IF(COUNTIF(Account_Map!$A$6:$A$31,$B388)&gt;0,"Mapped","UNMAPPED"))</x:f>
      </x:c>
    </x:row>
    <x:row r="389">
      <x:c r="A389" s="290"/>
      <x:c r="F389" s="400"/>
      <x:c r="I389" s="392"/>
      <x:c r="J389" t="str">
        <x:f>IF($B389="","",IF(COUNTIF(Account_Map!$A$6:$A$31,$B389)&gt;0,"Mapped","UNMAPPED"))</x:f>
      </x:c>
    </x:row>
    <x:row r="390">
      <x:c r="A390" s="290"/>
      <x:c r="F390" s="400"/>
      <x:c r="I390" s="392"/>
      <x:c r="J390" t="str">
        <x:f>IF($B390="","",IF(COUNTIF(Account_Map!$A$6:$A$31,$B390)&gt;0,"Mapped","UNMAPPED"))</x:f>
      </x:c>
    </x:row>
    <x:row r="391">
      <x:c r="A391" s="290"/>
      <x:c r="F391" s="400"/>
      <x:c r="I391" s="392"/>
      <x:c r="J391" t="str">
        <x:f>IF($B391="","",IF(COUNTIF(Account_Map!$A$6:$A$31,$B391)&gt;0,"Mapped","UNMAPPED"))</x:f>
      </x:c>
    </x:row>
    <x:row r="392">
      <x:c r="A392" s="290"/>
      <x:c r="F392" s="400"/>
      <x:c r="I392" s="392"/>
      <x:c r="J392" t="str">
        <x:f>IF($B392="","",IF(COUNTIF(Account_Map!$A$6:$A$31,$B392)&gt;0,"Mapped","UNMAPPED"))</x:f>
      </x:c>
    </x:row>
    <x:row r="393">
      <x:c r="A393" s="290"/>
      <x:c r="F393" s="400"/>
      <x:c r="I393" s="392"/>
      <x:c r="J393" t="str">
        <x:f>IF($B393="","",IF(COUNTIF(Account_Map!$A$6:$A$31,$B393)&gt;0,"Mapped","UNMAPPED"))</x:f>
      </x:c>
    </x:row>
    <x:row r="394">
      <x:c r="A394" s="290"/>
      <x:c r="F394" s="400"/>
      <x:c r="I394" s="392"/>
      <x:c r="J394" t="str">
        <x:f>IF($B394="","",IF(COUNTIF(Account_Map!$A$6:$A$31,$B394)&gt;0,"Mapped","UNMAPPED"))</x:f>
      </x:c>
    </x:row>
    <x:row r="395">
      <x:c r="A395" s="290"/>
      <x:c r="F395" s="400"/>
      <x:c r="I395" s="392"/>
      <x:c r="J395" t="str">
        <x:f>IF($B395="","",IF(COUNTIF(Account_Map!$A$6:$A$31,$B395)&gt;0,"Mapped","UNMAPPED"))</x:f>
      </x:c>
    </x:row>
    <x:row r="396">
      <x:c r="A396" s="290"/>
      <x:c r="F396" s="400"/>
      <x:c r="I396" s="392"/>
      <x:c r="J396" t="str">
        <x:f>IF($B396="","",IF(COUNTIF(Account_Map!$A$6:$A$31,$B396)&gt;0,"Mapped","UNMAPPED"))</x:f>
      </x:c>
    </x:row>
    <x:row r="397">
      <x:c r="A397" s="290"/>
      <x:c r="F397" s="400"/>
      <x:c r="I397" s="392"/>
      <x:c r="J397" t="str">
        <x:f>IF($B397="","",IF(COUNTIF(Account_Map!$A$6:$A$31,$B397)&gt;0,"Mapped","UNMAPPED"))</x:f>
      </x:c>
    </x:row>
    <x:row r="398">
      <x:c r="A398" s="290"/>
      <x:c r="F398" s="400"/>
      <x:c r="I398" s="392"/>
      <x:c r="J398" t="str">
        <x:f>IF($B398="","",IF(COUNTIF(Account_Map!$A$6:$A$31,$B398)&gt;0,"Mapped","UNMAPPED"))</x:f>
      </x:c>
    </x:row>
    <x:row r="399">
      <x:c r="A399" s="290"/>
      <x:c r="F399" s="400"/>
      <x:c r="I399" s="392"/>
      <x:c r="J399" t="str">
        <x:f>IF($B399="","",IF(COUNTIF(Account_Map!$A$6:$A$31,$B399)&gt;0,"Mapped","UNMAPPED"))</x:f>
      </x:c>
    </x:row>
    <x:row r="400">
      <x:c r="A400" s="290"/>
      <x:c r="F400" s="400"/>
      <x:c r="I400" s="392"/>
      <x:c r="J400" t="str">
        <x:f>IF($B400="","",IF(COUNTIF(Account_Map!$A$6:$A$31,$B400)&gt;0,"Mapped","UNMAPPED"))</x:f>
      </x:c>
    </x:row>
    <x:row r="401">
      <x:c r="A401" s="290"/>
      <x:c r="F401" s="400"/>
      <x:c r="I401" s="392"/>
      <x:c r="J401" t="str">
        <x:f>IF($B401="","",IF(COUNTIF(Account_Map!$A$6:$A$31,$B401)&gt;0,"Mapped","UNMAPPED"))</x:f>
      </x:c>
    </x:row>
    <x:row r="402">
      <x:c r="A402" s="290"/>
      <x:c r="F402" s="400"/>
      <x:c r="I402" s="392"/>
      <x:c r="J402" t="str">
        <x:f>IF($B402="","",IF(COUNTIF(Account_Map!$A$6:$A$31,$B402)&gt;0,"Mapped","UNMAPPED"))</x:f>
      </x:c>
    </x:row>
    <x:row r="403">
      <x:c r="A403" s="290"/>
      <x:c r="F403" s="400"/>
      <x:c r="I403" s="392"/>
      <x:c r="J403" t="str">
        <x:f>IF($B403="","",IF(COUNTIF(Account_Map!$A$6:$A$31,$B403)&gt;0,"Mapped","UNMAPPED"))</x:f>
      </x:c>
    </x:row>
    <x:row r="404">
      <x:c r="A404" s="290"/>
      <x:c r="F404" s="400"/>
      <x:c r="I404" s="392"/>
      <x:c r="J404" t="str">
        <x:f>IF($B404="","",IF(COUNTIF(Account_Map!$A$6:$A$31,$B404)&gt;0,"Mapped","UNMAPPED"))</x:f>
      </x:c>
    </x:row>
    <x:row r="405">
      <x:c r="A405" s="290"/>
      <x:c r="F405" s="400"/>
      <x:c r="I405" s="392"/>
      <x:c r="J405" t="str">
        <x:f>IF($B405="","",IF(COUNTIF(Account_Map!$A$6:$A$31,$B405)&gt;0,"Mapped","UNMAPPED"))</x:f>
      </x:c>
    </x:row>
    <x:row r="406">
      <x:c r="A406" s="290"/>
      <x:c r="F406" s="400"/>
      <x:c r="I406" s="392"/>
      <x:c r="J406" t="str">
        <x:f>IF($B406="","",IF(COUNTIF(Account_Map!$A$6:$A$31,$B406)&gt;0,"Mapped","UNMAPPED"))</x:f>
      </x:c>
    </x:row>
    <x:row r="407">
      <x:c r="A407" s="290"/>
      <x:c r="F407" s="400"/>
      <x:c r="I407" s="392"/>
      <x:c r="J407" t="str">
        <x:f>IF($B407="","",IF(COUNTIF(Account_Map!$A$6:$A$31,$B407)&gt;0,"Mapped","UNMAPPED"))</x:f>
      </x:c>
    </x:row>
    <x:row r="408">
      <x:c r="A408" s="290"/>
      <x:c r="F408" s="400"/>
      <x:c r="I408" s="392"/>
      <x:c r="J408" t="str">
        <x:f>IF($B408="","",IF(COUNTIF(Account_Map!$A$6:$A$31,$B408)&gt;0,"Mapped","UNMAPPED"))</x:f>
      </x:c>
    </x:row>
    <x:row r="409">
      <x:c r="A409" s="290"/>
      <x:c r="F409" s="400"/>
      <x:c r="I409" s="392"/>
      <x:c r="J409" t="str">
        <x:f>IF($B409="","",IF(COUNTIF(Account_Map!$A$6:$A$31,$B409)&gt;0,"Mapped","UNMAPPED"))</x:f>
      </x:c>
    </x:row>
    <x:row r="410">
      <x:c r="A410" s="290"/>
      <x:c r="F410" s="400"/>
      <x:c r="I410" s="392"/>
      <x:c r="J410" t="str">
        <x:f>IF($B410="","",IF(COUNTIF(Account_Map!$A$6:$A$31,$B410)&gt;0,"Mapped","UNMAPPED"))</x:f>
      </x:c>
    </x:row>
    <x:row r="411">
      <x:c r="A411" s="290"/>
      <x:c r="F411" s="400"/>
      <x:c r="I411" s="392"/>
      <x:c r="J411" t="str">
        <x:f>IF($B411="","",IF(COUNTIF(Account_Map!$A$6:$A$31,$B411)&gt;0,"Mapped","UNMAPPED"))</x:f>
      </x:c>
    </x:row>
    <x:row r="412">
      <x:c r="A412" s="290"/>
      <x:c r="F412" s="400"/>
      <x:c r="I412" s="392"/>
      <x:c r="J412" t="str">
        <x:f>IF($B412="","",IF(COUNTIF(Account_Map!$A$6:$A$31,$B412)&gt;0,"Mapped","UNMAPPED"))</x:f>
      </x:c>
    </x:row>
    <x:row r="413">
      <x:c r="A413" s="290"/>
      <x:c r="F413" s="400"/>
      <x:c r="I413" s="392"/>
      <x:c r="J413" t="str">
        <x:f>IF($B413="","",IF(COUNTIF(Account_Map!$A$6:$A$31,$B413)&gt;0,"Mapped","UNMAPPED"))</x:f>
      </x:c>
    </x:row>
    <x:row r="414">
      <x:c r="A414" s="290"/>
      <x:c r="F414" s="400"/>
      <x:c r="I414" s="392"/>
      <x:c r="J414" t="str">
        <x:f>IF($B414="","",IF(COUNTIF(Account_Map!$A$6:$A$31,$B414)&gt;0,"Mapped","UNMAPPED"))</x:f>
      </x:c>
    </x:row>
    <x:row r="415">
      <x:c r="A415" s="290"/>
      <x:c r="F415" s="400"/>
      <x:c r="I415" s="392"/>
      <x:c r="J415" t="str">
        <x:f>IF($B415="","",IF(COUNTIF(Account_Map!$A$6:$A$31,$B415)&gt;0,"Mapped","UNMAPPED"))</x:f>
      </x:c>
    </x:row>
    <x:row r="416">
      <x:c r="A416" s="290"/>
      <x:c r="F416" s="400"/>
      <x:c r="I416" s="392"/>
      <x:c r="J416" t="str">
        <x:f>IF($B416="","",IF(COUNTIF(Account_Map!$A$6:$A$31,$B416)&gt;0,"Mapped","UNMAPPED"))</x:f>
      </x:c>
    </x:row>
    <x:row r="417">
      <x:c r="A417" s="290"/>
      <x:c r="F417" s="400"/>
      <x:c r="I417" s="392"/>
      <x:c r="J417" t="str">
        <x:f>IF($B417="","",IF(COUNTIF(Account_Map!$A$6:$A$31,$B417)&gt;0,"Mapped","UNMAPPED"))</x:f>
      </x:c>
    </x:row>
    <x:row r="418">
      <x:c r="A418" s="290"/>
      <x:c r="F418" s="400"/>
      <x:c r="I418" s="392"/>
      <x:c r="J418" t="str">
        <x:f>IF($B418="","",IF(COUNTIF(Account_Map!$A$6:$A$31,$B418)&gt;0,"Mapped","UNMAPPED"))</x:f>
      </x:c>
    </x:row>
    <x:row r="419">
      <x:c r="A419" s="290"/>
      <x:c r="F419" s="400"/>
      <x:c r="I419" s="392"/>
      <x:c r="J419" t="str">
        <x:f>IF($B419="","",IF(COUNTIF(Account_Map!$A$6:$A$31,$B419)&gt;0,"Mapped","UNMAPPED"))</x:f>
      </x:c>
    </x:row>
    <x:row r="420">
      <x:c r="A420" s="290"/>
      <x:c r="F420" s="400"/>
      <x:c r="I420" s="392"/>
      <x:c r="J420" t="str">
        <x:f>IF($B420="","",IF(COUNTIF(Account_Map!$A$6:$A$31,$B420)&gt;0,"Mapped","UNMAPPED"))</x:f>
      </x:c>
    </x:row>
    <x:row r="421">
      <x:c r="A421" s="290"/>
      <x:c r="F421" s="400"/>
      <x:c r="I421" s="392"/>
      <x:c r="J421" t="str">
        <x:f>IF($B421="","",IF(COUNTIF(Account_Map!$A$6:$A$31,$B421)&gt;0,"Mapped","UNMAPPED"))</x:f>
      </x:c>
    </x:row>
    <x:row r="422">
      <x:c r="A422" s="290"/>
      <x:c r="F422" s="400"/>
      <x:c r="I422" s="392"/>
      <x:c r="J422" t="str">
        <x:f>IF($B422="","",IF(COUNTIF(Account_Map!$A$6:$A$31,$B422)&gt;0,"Mapped","UNMAPPED"))</x:f>
      </x:c>
    </x:row>
    <x:row r="423">
      <x:c r="A423" s="290"/>
      <x:c r="F423" s="400"/>
      <x:c r="I423" s="392"/>
      <x:c r="J423" t="str">
        <x:f>IF($B423="","",IF(COUNTIF(Account_Map!$A$6:$A$31,$B423)&gt;0,"Mapped","UNMAPPED"))</x:f>
      </x:c>
    </x:row>
    <x:row r="424">
      <x:c r="A424" s="290"/>
      <x:c r="F424" s="400"/>
      <x:c r="I424" s="392"/>
      <x:c r="J424" t="str">
        <x:f>IF($B424="","",IF(COUNTIF(Account_Map!$A$6:$A$31,$B424)&gt;0,"Mapped","UNMAPPED"))</x:f>
      </x:c>
    </x:row>
    <x:row r="425">
      <x:c r="A425" s="290"/>
      <x:c r="F425" s="400"/>
      <x:c r="I425" s="392"/>
      <x:c r="J425" t="str">
        <x:f>IF($B425="","",IF(COUNTIF(Account_Map!$A$6:$A$31,$B425)&gt;0,"Mapped","UNMAPPED"))</x:f>
      </x:c>
    </x:row>
    <x:row r="426">
      <x:c r="A426" s="290"/>
      <x:c r="F426" s="400"/>
      <x:c r="I426" s="392"/>
      <x:c r="J426" t="str">
        <x:f>IF($B426="","",IF(COUNTIF(Account_Map!$A$6:$A$31,$B426)&gt;0,"Mapped","UNMAPPED"))</x:f>
      </x:c>
    </x:row>
    <x:row r="427">
      <x:c r="A427" s="290"/>
      <x:c r="F427" s="400"/>
      <x:c r="I427" s="392"/>
      <x:c r="J427" t="str">
        <x:f>IF($B427="","",IF(COUNTIF(Account_Map!$A$6:$A$31,$B427)&gt;0,"Mapped","UNMAPPED"))</x:f>
      </x:c>
    </x:row>
    <x:row r="428">
      <x:c r="A428" s="290"/>
      <x:c r="F428" s="400"/>
      <x:c r="I428" s="392"/>
      <x:c r="J428" t="str">
        <x:f>IF($B428="","",IF(COUNTIF(Account_Map!$A$6:$A$31,$B428)&gt;0,"Mapped","UNMAPPED"))</x:f>
      </x:c>
    </x:row>
    <x:row r="429">
      <x:c r="A429" s="290"/>
      <x:c r="F429" s="400"/>
      <x:c r="I429" s="392"/>
      <x:c r="J429" t="str">
        <x:f>IF($B429="","",IF(COUNTIF(Account_Map!$A$6:$A$31,$B429)&gt;0,"Mapped","UNMAPPED"))</x:f>
      </x:c>
    </x:row>
    <x:row r="430">
      <x:c r="A430" s="290"/>
      <x:c r="F430" s="400"/>
      <x:c r="I430" s="392"/>
      <x:c r="J430" t="str">
        <x:f>IF($B430="","",IF(COUNTIF(Account_Map!$A$6:$A$31,$B430)&gt;0,"Mapped","UNMAPPED"))</x:f>
      </x:c>
    </x:row>
    <x:row r="431">
      <x:c r="A431" s="290"/>
      <x:c r="F431" s="400"/>
      <x:c r="I431" s="392"/>
      <x:c r="J431" t="str">
        <x:f>IF($B431="","",IF(COUNTIF(Account_Map!$A$6:$A$31,$B431)&gt;0,"Mapped","UNMAPPED"))</x:f>
      </x:c>
    </x:row>
    <x:row r="432">
      <x:c r="A432" s="290"/>
      <x:c r="F432" s="400"/>
      <x:c r="I432" s="392"/>
      <x:c r="J432" t="str">
        <x:f>IF($B432="","",IF(COUNTIF(Account_Map!$A$6:$A$31,$B432)&gt;0,"Mapped","UNMAPPED"))</x:f>
      </x:c>
    </x:row>
    <x:row r="433">
      <x:c r="A433" s="290"/>
      <x:c r="F433" s="400"/>
      <x:c r="I433" s="392"/>
      <x:c r="J433" t="str">
        <x:f>IF($B433="","",IF(COUNTIF(Account_Map!$A$6:$A$31,$B433)&gt;0,"Mapped","UNMAPPED"))</x:f>
      </x:c>
    </x:row>
    <x:row r="434">
      <x:c r="A434" s="290"/>
      <x:c r="F434" s="400"/>
      <x:c r="I434" s="392"/>
      <x:c r="J434" t="str">
        <x:f>IF($B434="","",IF(COUNTIF(Account_Map!$A$6:$A$31,$B434)&gt;0,"Mapped","UNMAPPED"))</x:f>
      </x:c>
    </x:row>
    <x:row r="435">
      <x:c r="A435" s="290"/>
      <x:c r="F435" s="400"/>
      <x:c r="I435" s="392"/>
      <x:c r="J435" t="str">
        <x:f>IF($B435="","",IF(COUNTIF(Account_Map!$A$6:$A$31,$B435)&gt;0,"Mapped","UNMAPPED"))</x:f>
      </x:c>
    </x:row>
    <x:row r="436">
      <x:c r="A436" s="290"/>
      <x:c r="F436" s="400"/>
      <x:c r="I436" s="392"/>
      <x:c r="J436" t="str">
        <x:f>IF($B436="","",IF(COUNTIF(Account_Map!$A$6:$A$31,$B436)&gt;0,"Mapped","UNMAPPED"))</x:f>
      </x:c>
    </x:row>
    <x:row r="437">
      <x:c r="A437" s="290"/>
      <x:c r="F437" s="400"/>
      <x:c r="I437" s="392"/>
      <x:c r="J437" t="str">
        <x:f>IF($B437="","",IF(COUNTIF(Account_Map!$A$6:$A$31,$B437)&gt;0,"Mapped","UNMAPPED"))</x:f>
      </x:c>
    </x:row>
    <x:row r="438">
      <x:c r="A438" s="290"/>
      <x:c r="F438" s="400"/>
      <x:c r="I438" s="392"/>
      <x:c r="J438" t="str">
        <x:f>IF($B438="","",IF(COUNTIF(Account_Map!$A$6:$A$31,$B438)&gt;0,"Mapped","UNMAPPED"))</x:f>
      </x:c>
    </x:row>
    <x:row r="439">
      <x:c r="A439" s="290"/>
      <x:c r="F439" s="400"/>
      <x:c r="I439" s="392"/>
      <x:c r="J439" t="str">
        <x:f>IF($B439="","",IF(COUNTIF(Account_Map!$A$6:$A$31,$B439)&gt;0,"Mapped","UNMAPPED"))</x:f>
      </x:c>
    </x:row>
    <x:row r="440">
      <x:c r="A440" s="290"/>
      <x:c r="F440" s="400"/>
      <x:c r="I440" s="392"/>
      <x:c r="J440" t="str">
        <x:f>IF($B440="","",IF(COUNTIF(Account_Map!$A$6:$A$31,$B440)&gt;0,"Mapped","UNMAPPED"))</x:f>
      </x:c>
    </x:row>
    <x:row r="441">
      <x:c r="A441" s="290"/>
      <x:c r="F441" s="400"/>
      <x:c r="I441" s="392"/>
      <x:c r="J441" t="str">
        <x:f>IF($B441="","",IF(COUNTIF(Account_Map!$A$6:$A$31,$B441)&gt;0,"Mapped","UNMAPPED"))</x:f>
      </x:c>
    </x:row>
    <x:row r="442">
      <x:c r="A442" s="290"/>
      <x:c r="F442" s="400"/>
      <x:c r="I442" s="392"/>
      <x:c r="J442" t="str">
        <x:f>IF($B442="","",IF(COUNTIF(Account_Map!$A$6:$A$31,$B442)&gt;0,"Mapped","UNMAPPED"))</x:f>
      </x:c>
    </x:row>
    <x:row r="443">
      <x:c r="A443" s="290"/>
      <x:c r="F443" s="400"/>
      <x:c r="I443" s="392"/>
      <x:c r="J443" t="str">
        <x:f>IF($B443="","",IF(COUNTIF(Account_Map!$A$6:$A$31,$B443)&gt;0,"Mapped","UNMAPPED"))</x:f>
      </x:c>
    </x:row>
    <x:row r="444">
      <x:c r="A444" s="290"/>
      <x:c r="F444" s="400"/>
      <x:c r="I444" s="392"/>
      <x:c r="J444" t="str">
        <x:f>IF($B444="","",IF(COUNTIF(Account_Map!$A$6:$A$31,$B444)&gt;0,"Mapped","UNMAPPED"))</x:f>
      </x:c>
    </x:row>
    <x:row r="445">
      <x:c r="A445" s="290"/>
      <x:c r="F445" s="400"/>
      <x:c r="I445" s="392"/>
      <x:c r="J445" t="str">
        <x:f>IF($B445="","",IF(COUNTIF(Account_Map!$A$6:$A$31,$B445)&gt;0,"Mapped","UNMAPPED"))</x:f>
      </x:c>
    </x:row>
    <x:row r="446">
      <x:c r="A446" s="290"/>
      <x:c r="F446" s="400"/>
      <x:c r="I446" s="392"/>
      <x:c r="J446" t="str">
        <x:f>IF($B446="","",IF(COUNTIF(Account_Map!$A$6:$A$31,$B446)&gt;0,"Mapped","UNMAPPED"))</x:f>
      </x:c>
    </x:row>
    <x:row r="447">
      <x:c r="A447" s="290"/>
      <x:c r="F447" s="400"/>
      <x:c r="I447" s="392"/>
      <x:c r="J447" t="str">
        <x:f>IF($B447="","",IF(COUNTIF(Account_Map!$A$6:$A$31,$B447)&gt;0,"Mapped","UNMAPPED"))</x:f>
      </x:c>
    </x:row>
    <x:row r="448">
      <x:c r="A448" s="290"/>
      <x:c r="F448" s="400"/>
      <x:c r="I448" s="392"/>
      <x:c r="J448" t="str">
        <x:f>IF($B448="","",IF(COUNTIF(Account_Map!$A$6:$A$31,$B448)&gt;0,"Mapped","UNMAPPED"))</x:f>
      </x:c>
    </x:row>
    <x:row r="449">
      <x:c r="A449" s="290"/>
      <x:c r="F449" s="400"/>
      <x:c r="I449" s="392"/>
      <x:c r="J449" t="str">
        <x:f>IF($B449="","",IF(COUNTIF(Account_Map!$A$6:$A$31,$B449)&gt;0,"Mapped","UNMAPPED"))</x:f>
      </x:c>
    </x:row>
    <x:row r="450">
      <x:c r="A450" s="290"/>
      <x:c r="F450" s="400"/>
      <x:c r="I450" s="392"/>
      <x:c r="J450" t="str">
        <x:f>IF($B450="","",IF(COUNTIF(Account_Map!$A$6:$A$31,$B450)&gt;0,"Mapped","UNMAPPED"))</x:f>
      </x:c>
    </x:row>
    <x:row r="451">
      <x:c r="A451" s="290"/>
      <x:c r="F451" s="400"/>
      <x:c r="I451" s="392"/>
      <x:c r="J451" t="str">
        <x:f>IF($B451="","",IF(COUNTIF(Account_Map!$A$6:$A$31,$B451)&gt;0,"Mapped","UNMAPPED"))</x:f>
      </x:c>
    </x:row>
    <x:row r="452">
      <x:c r="A452" s="290"/>
      <x:c r="F452" s="400"/>
      <x:c r="I452" s="392"/>
      <x:c r="J452" t="str">
        <x:f>IF($B452="","",IF(COUNTIF(Account_Map!$A$6:$A$31,$B452)&gt;0,"Mapped","UNMAPPED"))</x:f>
      </x:c>
    </x:row>
    <x:row r="453">
      <x:c r="A453" s="290"/>
      <x:c r="F453" s="400"/>
      <x:c r="I453" s="392"/>
      <x:c r="J453" t="str">
        <x:f>IF($B453="","",IF(COUNTIF(Account_Map!$A$6:$A$31,$B453)&gt;0,"Mapped","UNMAPPED"))</x:f>
      </x:c>
    </x:row>
    <x:row r="454">
      <x:c r="A454" s="290"/>
      <x:c r="F454" s="400"/>
      <x:c r="I454" s="392"/>
      <x:c r="J454" t="str">
        <x:f>IF($B454="","",IF(COUNTIF(Account_Map!$A$6:$A$31,$B454)&gt;0,"Mapped","UNMAPPED"))</x:f>
      </x:c>
    </x:row>
    <x:row r="455">
      <x:c r="A455" s="290"/>
      <x:c r="F455" s="400"/>
      <x:c r="I455" s="392"/>
      <x:c r="J455" t="str">
        <x:f>IF($B455="","",IF(COUNTIF(Account_Map!$A$6:$A$31,$B455)&gt;0,"Mapped","UNMAPPED"))</x:f>
      </x:c>
    </x:row>
    <x:row r="456">
      <x:c r="A456" s="290"/>
      <x:c r="F456" s="400"/>
      <x:c r="I456" s="392"/>
      <x:c r="J456" t="str">
        <x:f>IF($B456="","",IF(COUNTIF(Account_Map!$A$6:$A$31,$B456)&gt;0,"Mapped","UNMAPPED"))</x:f>
      </x:c>
    </x:row>
    <x:row r="457">
      <x:c r="A457" s="290"/>
      <x:c r="F457" s="400"/>
      <x:c r="I457" s="392"/>
      <x:c r="J457" t="str">
        <x:f>IF($B457="","",IF(COUNTIF(Account_Map!$A$6:$A$31,$B457)&gt;0,"Mapped","UNMAPPED"))</x:f>
      </x:c>
    </x:row>
    <x:row r="458">
      <x:c r="A458" s="290"/>
      <x:c r="F458" s="400"/>
      <x:c r="I458" s="392"/>
      <x:c r="J458" t="str">
        <x:f>IF($B458="","",IF(COUNTIF(Account_Map!$A$6:$A$31,$B458)&gt;0,"Mapped","UNMAPPED"))</x:f>
      </x:c>
    </x:row>
    <x:row r="459">
      <x:c r="A459" s="290"/>
      <x:c r="F459" s="400"/>
      <x:c r="I459" s="392"/>
      <x:c r="J459" t="str">
        <x:f>IF($B459="","",IF(COUNTIF(Account_Map!$A$6:$A$31,$B459)&gt;0,"Mapped","UNMAPPED"))</x:f>
      </x:c>
    </x:row>
    <x:row r="460">
      <x:c r="A460" s="290"/>
      <x:c r="F460" s="400"/>
      <x:c r="I460" s="392"/>
      <x:c r="J460" t="str">
        <x:f>IF($B460="","",IF(COUNTIF(Account_Map!$A$6:$A$31,$B460)&gt;0,"Mapped","UNMAPPED"))</x:f>
      </x:c>
    </x:row>
    <x:row r="461">
      <x:c r="A461" s="290"/>
      <x:c r="F461" s="400"/>
      <x:c r="I461" s="392"/>
      <x:c r="J461" t="str">
        <x:f>IF($B461="","",IF(COUNTIF(Account_Map!$A$6:$A$31,$B461)&gt;0,"Mapped","UNMAPPED"))</x:f>
      </x:c>
    </x:row>
    <x:row r="462">
      <x:c r="A462" s="290"/>
      <x:c r="F462" s="400"/>
      <x:c r="I462" s="392"/>
      <x:c r="J462" t="str">
        <x:f>IF($B462="","",IF(COUNTIF(Account_Map!$A$6:$A$31,$B462)&gt;0,"Mapped","UNMAPPED"))</x:f>
      </x:c>
    </x:row>
    <x:row r="463">
      <x:c r="A463" s="290"/>
      <x:c r="F463" s="400"/>
      <x:c r="I463" s="392"/>
      <x:c r="J463" t="str">
        <x:f>IF($B463="","",IF(COUNTIF(Account_Map!$A$6:$A$31,$B463)&gt;0,"Mapped","UNMAPPED"))</x:f>
      </x:c>
    </x:row>
    <x:row r="464">
      <x:c r="A464" s="290"/>
      <x:c r="F464" s="400"/>
      <x:c r="I464" s="392"/>
      <x:c r="J464" t="str">
        <x:f>IF($B464="","",IF(COUNTIF(Account_Map!$A$6:$A$31,$B464)&gt;0,"Mapped","UNMAPPED"))</x:f>
      </x:c>
    </x:row>
    <x:row r="465">
      <x:c r="A465" s="290"/>
      <x:c r="F465" s="400"/>
      <x:c r="I465" s="392"/>
      <x:c r="J465" t="str">
        <x:f>IF($B465="","",IF(COUNTIF(Account_Map!$A$6:$A$31,$B465)&gt;0,"Mapped","UNMAPPED"))</x:f>
      </x:c>
    </x:row>
    <x:row r="466">
      <x:c r="A466" s="290"/>
      <x:c r="F466" s="400"/>
      <x:c r="I466" s="392"/>
      <x:c r="J466" t="str">
        <x:f>IF($B466="","",IF(COUNTIF(Account_Map!$A$6:$A$31,$B466)&gt;0,"Mapped","UNMAPPED"))</x:f>
      </x:c>
    </x:row>
    <x:row r="467">
      <x:c r="A467" s="290"/>
      <x:c r="F467" s="400"/>
      <x:c r="I467" s="392"/>
      <x:c r="J467" t="str">
        <x:f>IF($B467="","",IF(COUNTIF(Account_Map!$A$6:$A$31,$B467)&gt;0,"Mapped","UNMAPPED"))</x:f>
      </x:c>
    </x:row>
    <x:row r="468">
      <x:c r="A468" s="290"/>
      <x:c r="F468" s="400"/>
      <x:c r="I468" s="392"/>
      <x:c r="J468" t="str">
        <x:f>IF($B468="","",IF(COUNTIF(Account_Map!$A$6:$A$31,$B468)&gt;0,"Mapped","UNMAPPED"))</x:f>
      </x:c>
    </x:row>
    <x:row r="469">
      <x:c r="A469" s="290"/>
      <x:c r="F469" s="400"/>
      <x:c r="I469" s="392"/>
      <x:c r="J469" t="str">
        <x:f>IF($B469="","",IF(COUNTIF(Account_Map!$A$6:$A$31,$B469)&gt;0,"Mapped","UNMAPPED"))</x:f>
      </x:c>
    </x:row>
    <x:row r="470">
      <x:c r="A470" s="290"/>
      <x:c r="F470" s="400"/>
      <x:c r="I470" s="392"/>
      <x:c r="J470" t="str">
        <x:f>IF($B470="","",IF(COUNTIF(Account_Map!$A$6:$A$31,$B470)&gt;0,"Mapped","UNMAPPED"))</x:f>
      </x:c>
    </x:row>
    <x:row r="471">
      <x:c r="A471" s="290"/>
      <x:c r="F471" s="400"/>
      <x:c r="I471" s="392"/>
      <x:c r="J471" t="str">
        <x:f>IF($B471="","",IF(COUNTIF(Account_Map!$A$6:$A$31,$B471)&gt;0,"Mapped","UNMAPPED"))</x:f>
      </x:c>
    </x:row>
    <x:row r="472">
      <x:c r="A472" s="290"/>
      <x:c r="F472" s="400"/>
      <x:c r="I472" s="392"/>
      <x:c r="J472" t="str">
        <x:f>IF($B472="","",IF(COUNTIF(Account_Map!$A$6:$A$31,$B472)&gt;0,"Mapped","UNMAPPED"))</x:f>
      </x:c>
    </x:row>
    <x:row r="473">
      <x:c r="A473" s="290"/>
      <x:c r="F473" s="400"/>
      <x:c r="I473" s="392"/>
      <x:c r="J473" t="str">
        <x:f>IF($B473="","",IF(COUNTIF(Account_Map!$A$6:$A$31,$B473)&gt;0,"Mapped","UNMAPPED"))</x:f>
      </x:c>
    </x:row>
    <x:row r="474">
      <x:c r="A474" s="290"/>
      <x:c r="F474" s="400"/>
      <x:c r="I474" s="392"/>
      <x:c r="J474" t="str">
        <x:f>IF($B474="","",IF(COUNTIF(Account_Map!$A$6:$A$31,$B474)&gt;0,"Mapped","UNMAPPED"))</x:f>
      </x:c>
    </x:row>
    <x:row r="475">
      <x:c r="A475" s="290"/>
      <x:c r="F475" s="400"/>
      <x:c r="I475" s="392"/>
      <x:c r="J475" t="str">
        <x:f>IF($B475="","",IF(COUNTIF(Account_Map!$A$6:$A$31,$B475)&gt;0,"Mapped","UNMAPPED"))</x:f>
      </x:c>
    </x:row>
    <x:row r="476">
      <x:c r="A476" s="290"/>
      <x:c r="F476" s="400"/>
      <x:c r="I476" s="392"/>
      <x:c r="J476" t="str">
        <x:f>IF($B476="","",IF(COUNTIF(Account_Map!$A$6:$A$31,$B476)&gt;0,"Mapped","UNMAPPED"))</x:f>
      </x:c>
    </x:row>
    <x:row r="477">
      <x:c r="A477" s="290"/>
      <x:c r="F477" s="400"/>
      <x:c r="I477" s="392"/>
      <x:c r="J477" t="str">
        <x:f>IF($B477="","",IF(COUNTIF(Account_Map!$A$6:$A$31,$B477)&gt;0,"Mapped","UNMAPPED"))</x:f>
      </x:c>
    </x:row>
    <x:row r="478">
      <x:c r="A478" s="290"/>
      <x:c r="F478" s="400"/>
      <x:c r="I478" s="392"/>
      <x:c r="J478" t="str">
        <x:f>IF($B478="","",IF(COUNTIF(Account_Map!$A$6:$A$31,$B478)&gt;0,"Mapped","UNMAPPED"))</x:f>
      </x:c>
    </x:row>
    <x:row r="479">
      <x:c r="A479" s="290"/>
      <x:c r="F479" s="400"/>
      <x:c r="I479" s="392"/>
      <x:c r="J479" t="str">
        <x:f>IF($B479="","",IF(COUNTIF(Account_Map!$A$6:$A$31,$B479)&gt;0,"Mapped","UNMAPPED"))</x:f>
      </x:c>
    </x:row>
    <x:row r="480">
      <x:c r="A480" s="290"/>
      <x:c r="F480" s="400"/>
      <x:c r="I480" s="392"/>
      <x:c r="J480" t="str">
        <x:f>IF($B480="","",IF(COUNTIF(Account_Map!$A$6:$A$31,$B480)&gt;0,"Mapped","UNMAPPED"))</x:f>
      </x:c>
    </x:row>
    <x:row r="481">
      <x:c r="A481" s="290"/>
      <x:c r="F481" s="400"/>
      <x:c r="I481" s="392"/>
      <x:c r="J481" t="str">
        <x:f>IF($B481="","",IF(COUNTIF(Account_Map!$A$6:$A$31,$B481)&gt;0,"Mapped","UNMAPPED"))</x:f>
      </x:c>
    </x:row>
    <x:row r="482">
      <x:c r="A482" s="290"/>
      <x:c r="F482" s="400"/>
      <x:c r="I482" s="392"/>
      <x:c r="J482" t="str">
        <x:f>IF($B482="","",IF(COUNTIF(Account_Map!$A$6:$A$31,$B482)&gt;0,"Mapped","UNMAPPED"))</x:f>
      </x:c>
    </x:row>
    <x:row r="483">
      <x:c r="A483" s="290"/>
      <x:c r="F483" s="400"/>
      <x:c r="I483" s="392"/>
      <x:c r="J483" t="str">
        <x:f>IF($B483="","",IF(COUNTIF(Account_Map!$A$6:$A$31,$B483)&gt;0,"Mapped","UNMAPPED"))</x:f>
      </x:c>
    </x:row>
    <x:row r="484">
      <x:c r="A484" s="290"/>
      <x:c r="F484" s="400"/>
      <x:c r="I484" s="392"/>
      <x:c r="J484" t="str">
        <x:f>IF($B484="","",IF(COUNTIF(Account_Map!$A$6:$A$31,$B484)&gt;0,"Mapped","UNMAPPED"))</x:f>
      </x:c>
    </x:row>
    <x:row r="485">
      <x:c r="A485" s="290"/>
      <x:c r="F485" s="400"/>
      <x:c r="I485" s="392"/>
      <x:c r="J485" t="str">
        <x:f>IF($B485="","",IF(COUNTIF(Account_Map!$A$6:$A$31,$B485)&gt;0,"Mapped","UNMAPPED"))</x:f>
      </x:c>
    </x:row>
    <x:row r="486">
      <x:c r="A486" s="290"/>
      <x:c r="F486" s="400"/>
      <x:c r="I486" s="392"/>
      <x:c r="J486" t="str">
        <x:f>IF($B486="","",IF(COUNTIF(Account_Map!$A$6:$A$31,$B486)&gt;0,"Mapped","UNMAPPED"))</x:f>
      </x:c>
    </x:row>
    <x:row r="487">
      <x:c r="A487" s="290"/>
      <x:c r="F487" s="400"/>
      <x:c r="I487" s="392"/>
      <x:c r="J487" t="str">
        <x:f>IF($B487="","",IF(COUNTIF(Account_Map!$A$6:$A$31,$B487)&gt;0,"Mapped","UNMAPPED"))</x:f>
      </x:c>
    </x:row>
    <x:row r="488">
      <x:c r="A488" s="290"/>
      <x:c r="F488" s="400"/>
      <x:c r="I488" s="392"/>
      <x:c r="J488" t="str">
        <x:f>IF($B488="","",IF(COUNTIF(Account_Map!$A$6:$A$31,$B488)&gt;0,"Mapped","UNMAPPED"))</x:f>
      </x:c>
    </x:row>
    <x:row r="489">
      <x:c r="A489" s="290"/>
      <x:c r="F489" s="400"/>
      <x:c r="I489" s="392"/>
      <x:c r="J489" t="str">
        <x:f>IF($B489="","",IF(COUNTIF(Account_Map!$A$6:$A$31,$B489)&gt;0,"Mapped","UNMAPPED"))</x:f>
      </x:c>
    </x:row>
    <x:row r="490">
      <x:c r="A490" s="290"/>
      <x:c r="F490" s="400"/>
      <x:c r="I490" s="392"/>
      <x:c r="J490" t="str">
        <x:f>IF($B490="","",IF(COUNTIF(Account_Map!$A$6:$A$31,$B490)&gt;0,"Mapped","UNMAPPED"))</x:f>
      </x:c>
    </x:row>
    <x:row r="491">
      <x:c r="A491" s="290"/>
      <x:c r="F491" s="400"/>
      <x:c r="I491" s="392"/>
      <x:c r="J491" t="str">
        <x:f>IF($B491="","",IF(COUNTIF(Account_Map!$A$6:$A$31,$B491)&gt;0,"Mapped","UNMAPPED"))</x:f>
      </x:c>
    </x:row>
    <x:row r="492">
      <x:c r="A492" s="290"/>
      <x:c r="F492" s="400"/>
      <x:c r="I492" s="392"/>
      <x:c r="J492" t="str">
        <x:f>IF($B492="","",IF(COUNTIF(Account_Map!$A$6:$A$31,$B492)&gt;0,"Mapped","UNMAPPED"))</x:f>
      </x:c>
    </x:row>
    <x:row r="493">
      <x:c r="A493" s="290"/>
      <x:c r="F493" s="400"/>
      <x:c r="I493" s="392"/>
      <x:c r="J493" t="str">
        <x:f>IF($B493="","",IF(COUNTIF(Account_Map!$A$6:$A$31,$B493)&gt;0,"Mapped","UNMAPPED"))</x:f>
      </x:c>
    </x:row>
    <x:row r="494">
      <x:c r="A494" s="290"/>
      <x:c r="F494" s="400"/>
      <x:c r="I494" s="392"/>
      <x:c r="J494" t="str">
        <x:f>IF($B494="","",IF(COUNTIF(Account_Map!$A$6:$A$31,$B494)&gt;0,"Mapped","UNMAPPED"))</x:f>
      </x:c>
    </x:row>
    <x:row r="495">
      <x:c r="A495" s="290"/>
      <x:c r="F495" s="400"/>
      <x:c r="I495" s="392"/>
      <x:c r="J495" t="str">
        <x:f>IF($B495="","",IF(COUNTIF(Account_Map!$A$6:$A$31,$B495)&gt;0,"Mapped","UNMAPPED"))</x:f>
      </x:c>
    </x:row>
    <x:row r="496">
      <x:c r="A496" s="290"/>
      <x:c r="F496" s="400"/>
      <x:c r="I496" s="392"/>
      <x:c r="J496" t="str">
        <x:f>IF($B496="","",IF(COUNTIF(Account_Map!$A$6:$A$31,$B496)&gt;0,"Mapped","UNMAPPED"))</x:f>
      </x:c>
    </x:row>
    <x:row r="497">
      <x:c r="A497" s="290"/>
      <x:c r="F497" s="400"/>
      <x:c r="I497" s="392"/>
      <x:c r="J497" t="str">
        <x:f>IF($B497="","",IF(COUNTIF(Account_Map!$A$6:$A$31,$B497)&gt;0,"Mapped","UNMAPPED"))</x:f>
      </x:c>
    </x:row>
    <x:row r="498">
      <x:c r="A498" s="290"/>
      <x:c r="F498" s="400"/>
      <x:c r="I498" s="392"/>
      <x:c r="J498" t="str">
        <x:f>IF($B498="","",IF(COUNTIF(Account_Map!$A$6:$A$31,$B498)&gt;0,"Mapped","UNMAPPED"))</x:f>
      </x:c>
    </x:row>
    <x:row r="499">
      <x:c r="A499" s="290"/>
      <x:c r="F499" s="400"/>
      <x:c r="I499" s="392"/>
      <x:c r="J499" t="str">
        <x:f>IF($B499="","",IF(COUNTIF(Account_Map!$A$6:$A$31,$B499)&gt;0,"Mapped","UNMAPPED"))</x:f>
      </x:c>
    </x:row>
    <x:row r="500">
      <x:c r="A500" s="290"/>
      <x:c r="F500" s="400"/>
      <x:c r="I500" s="392"/>
      <x:c r="J500" t="str">
        <x:f>IF($B500="","",IF(COUNTIF(Account_Map!$A$6:$A$31,$B500)&gt;0,"Mapped","UNMAPPED"))</x:f>
      </x:c>
    </x:row>
    <x:row r="501">
      <x:c r="A501" s="290"/>
      <x:c r="F501" s="400"/>
      <x:c r="I501" s="392"/>
      <x:c r="J501" t="str">
        <x:f>IF($B501="","",IF(COUNTIF(Account_Map!$A$6:$A$31,$B501)&gt;0,"Mapped","UNMAPPED"))</x:f>
      </x:c>
    </x:row>
    <x:row r="502">
      <x:c r="A502" s="290"/>
      <x:c r="F502" s="400"/>
      <x:c r="I502" s="392"/>
      <x:c r="J502" t="str">
        <x:f>IF($B502="","",IF(COUNTIF(Account_Map!$A$6:$A$31,$B502)&gt;0,"Mapped","UNMAPPED"))</x:f>
      </x:c>
    </x:row>
    <x:row r="503">
      <x:c r="A503" s="290"/>
      <x:c r="F503" s="400"/>
      <x:c r="I503" s="392"/>
      <x:c r="J503" t="str">
        <x:f>IF($B503="","",IF(COUNTIF(Account_Map!$A$6:$A$31,$B503)&gt;0,"Mapped","UNMAPPED"))</x:f>
      </x:c>
    </x:row>
    <x:row r="504">
      <x:c r="A504" s="290"/>
      <x:c r="F504" s="400"/>
      <x:c r="I504" s="392"/>
      <x:c r="J504" t="str">
        <x:f>IF($B504="","",IF(COUNTIF(Account_Map!$A$6:$A$31,$B504)&gt;0,"Mapped","UNMAPPED"))</x:f>
      </x:c>
    </x:row>
    <x:row r="505">
      <x:c r="A505" s="290"/>
      <x:c r="F505" s="400"/>
      <x:c r="I505" s="392"/>
      <x:c r="J505" t="str">
        <x:f>IF($B505="","",IF(COUNTIF(Account_Map!$A$6:$A$31,$B505)&gt;0,"Mapped","UNMAPPED"))</x:f>
      </x:c>
    </x:row>
    <x:row r="506">
      <x:c r="A506" s="290"/>
      <x:c r="F506" s="400"/>
      <x:c r="I506" s="392"/>
      <x:c r="J506" t="str">
        <x:f>IF($B506="","",IF(COUNTIF(Account_Map!$A$6:$A$31,$B506)&gt;0,"Mapped","UNMAPPED"))</x:f>
      </x:c>
    </x:row>
    <x:row r="507">
      <x:c r="A507" s="290"/>
      <x:c r="F507" s="400"/>
      <x:c r="I507" s="392"/>
      <x:c r="J507" t="str">
        <x:f>IF($B507="","",IF(COUNTIF(Account_Map!$A$6:$A$31,$B507)&gt;0,"Mapped","UNMAPPED"))</x:f>
      </x:c>
    </x:row>
    <x:row r="508">
      <x:c r="A508" s="290"/>
      <x:c r="F508" s="400"/>
      <x:c r="I508" s="392"/>
      <x:c r="J508" t="str">
        <x:f>IF($B508="","",IF(COUNTIF(Account_Map!$A$6:$A$31,$B508)&gt;0,"Mapped","UNMAPPED"))</x:f>
      </x:c>
    </x:row>
    <x:row r="509">
      <x:c r="A509" s="290"/>
      <x:c r="F509" s="400"/>
      <x:c r="I509" s="392"/>
      <x:c r="J509" t="str">
        <x:f>IF($B509="","",IF(COUNTIF(Account_Map!$A$6:$A$31,$B509)&gt;0,"Mapped","UNMAPPED"))</x:f>
      </x:c>
    </x:row>
    <x:row r="510">
      <x:c r="A510" s="290"/>
      <x:c r="F510" s="400"/>
      <x:c r="I510" s="392"/>
      <x:c r="J510" t="str">
        <x:f>IF($B510="","",IF(COUNTIF(Account_Map!$A$6:$A$31,$B510)&gt;0,"Mapped","UNMAPPED"))</x:f>
      </x:c>
    </x:row>
    <x:row r="511">
      <x:c r="A511" s="290"/>
      <x:c r="F511" s="400"/>
      <x:c r="I511" s="392"/>
      <x:c r="J511" t="str">
        <x:f>IF($B511="","",IF(COUNTIF(Account_Map!$A$6:$A$31,$B511)&gt;0,"Mapped","UNMAPPED"))</x:f>
      </x:c>
    </x:row>
    <x:row r="512">
      <x:c r="A512" s="290"/>
      <x:c r="F512" s="400"/>
      <x:c r="I512" s="392"/>
      <x:c r="J512" t="str">
        <x:f>IF($B512="","",IF(COUNTIF(Account_Map!$A$6:$A$31,$B512)&gt;0,"Mapped","UNMAPPED"))</x:f>
      </x:c>
    </x:row>
    <x:row r="513">
      <x:c r="A513" s="290"/>
      <x:c r="F513" s="400"/>
      <x:c r="I513" s="392"/>
      <x:c r="J513" t="str">
        <x:f>IF($B513="","",IF(COUNTIF(Account_Map!$A$6:$A$31,$B513)&gt;0,"Mapped","UNMAPPED"))</x:f>
      </x:c>
    </x:row>
    <x:row r="514">
      <x:c r="A514" s="290"/>
      <x:c r="F514" s="400"/>
      <x:c r="I514" s="392"/>
      <x:c r="J514" t="str">
        <x:f>IF($B514="","",IF(COUNTIF(Account_Map!$A$6:$A$31,$B514)&gt;0,"Mapped","UNMAPPED"))</x:f>
      </x:c>
    </x:row>
    <x:row r="515">
      <x:c r="A515" s="290"/>
      <x:c r="F515" s="400"/>
      <x:c r="I515" s="392"/>
      <x:c r="J515" t="str">
        <x:f>IF($B515="","",IF(COUNTIF(Account_Map!$A$6:$A$31,$B515)&gt;0,"Mapped","UNMAPPED"))</x:f>
      </x:c>
    </x:row>
    <x:row r="516">
      <x:c r="A516" s="290"/>
      <x:c r="F516" s="400"/>
      <x:c r="I516" s="392"/>
      <x:c r="J516" t="str">
        <x:f>IF($B516="","",IF(COUNTIF(Account_Map!$A$6:$A$31,$B516)&gt;0,"Mapped","UNMAPPED"))</x:f>
      </x:c>
    </x:row>
    <x:row r="517">
      <x:c r="A517" s="290"/>
      <x:c r="F517" s="400"/>
      <x:c r="I517" s="392"/>
      <x:c r="J517" t="str">
        <x:f>IF($B517="","",IF(COUNTIF(Account_Map!$A$6:$A$31,$B517)&gt;0,"Mapped","UNMAPPED"))</x:f>
      </x:c>
    </x:row>
    <x:row r="518">
      <x:c r="A518" s="290"/>
      <x:c r="F518" s="400"/>
      <x:c r="I518" s="392"/>
      <x:c r="J518" t="str">
        <x:f>IF($B518="","",IF(COUNTIF(Account_Map!$A$6:$A$31,$B518)&gt;0,"Mapped","UNMAPPED"))</x:f>
      </x:c>
    </x:row>
    <x:row r="519">
      <x:c r="A519" s="290"/>
      <x:c r="F519" s="400"/>
      <x:c r="I519" s="392"/>
      <x:c r="J519" t="str">
        <x:f>IF($B519="","",IF(COUNTIF(Account_Map!$A$6:$A$31,$B519)&gt;0,"Mapped","UNMAPPED"))</x:f>
      </x:c>
    </x:row>
    <x:row r="520">
      <x:c r="A520" s="290"/>
      <x:c r="F520" s="400"/>
      <x:c r="I520" s="392"/>
      <x:c r="J520" t="str">
        <x:f>IF($B520="","",IF(COUNTIF(Account_Map!$A$6:$A$31,$B520)&gt;0,"Mapped","UNMAPPED"))</x:f>
      </x:c>
    </x:row>
    <x:row r="521">
      <x:c r="A521" s="290"/>
      <x:c r="F521" s="400"/>
      <x:c r="I521" s="392"/>
      <x:c r="J521" t="str">
        <x:f>IF($B521="","",IF(COUNTIF(Account_Map!$A$6:$A$31,$B521)&gt;0,"Mapped","UNMAPPED"))</x:f>
      </x:c>
    </x:row>
    <x:row r="522">
      <x:c r="A522" s="290"/>
      <x:c r="F522" s="400"/>
      <x:c r="I522" s="392"/>
      <x:c r="J522" t="str">
        <x:f>IF($B522="","",IF(COUNTIF(Account_Map!$A$6:$A$31,$B522)&gt;0,"Mapped","UNMAPPED"))</x:f>
      </x:c>
    </x:row>
    <x:row r="523">
      <x:c r="A523" s="290"/>
      <x:c r="F523" s="400"/>
      <x:c r="I523" s="392"/>
      <x:c r="J523" t="str">
        <x:f>IF($B523="","",IF(COUNTIF(Account_Map!$A$6:$A$31,$B523)&gt;0,"Mapped","UNMAPPED"))</x:f>
      </x:c>
    </x:row>
    <x:row r="524">
      <x:c r="A524" s="290"/>
      <x:c r="F524" s="400"/>
      <x:c r="I524" s="392"/>
      <x:c r="J524" t="str">
        <x:f>IF($B524="","",IF(COUNTIF(Account_Map!$A$6:$A$31,$B524)&gt;0,"Mapped","UNMAPPED"))</x:f>
      </x:c>
    </x:row>
    <x:row r="525">
      <x:c r="A525" s="290"/>
      <x:c r="F525" s="400"/>
      <x:c r="I525" s="392"/>
      <x:c r="J525" t="str">
        <x:f>IF($B525="","",IF(COUNTIF(Account_Map!$A$6:$A$31,$B525)&gt;0,"Mapped","UNMAPPED"))</x:f>
      </x:c>
    </x:row>
    <x:row r="526">
      <x:c r="A526" s="290"/>
      <x:c r="F526" s="400"/>
      <x:c r="I526" s="392"/>
      <x:c r="J526" t="str">
        <x:f>IF($B526="","",IF(COUNTIF(Account_Map!$A$6:$A$31,$B526)&gt;0,"Mapped","UNMAPPED"))</x:f>
      </x:c>
    </x:row>
    <x:row r="527">
      <x:c r="A527" s="290"/>
      <x:c r="F527" s="400"/>
      <x:c r="I527" s="392"/>
      <x:c r="J527" t="str">
        <x:f>IF($B527="","",IF(COUNTIF(Account_Map!$A$6:$A$31,$B527)&gt;0,"Mapped","UNMAPPED"))</x:f>
      </x:c>
    </x:row>
    <x:row r="528">
      <x:c r="A528" s="290"/>
      <x:c r="F528" s="400"/>
      <x:c r="I528" s="392"/>
      <x:c r="J528" t="str">
        <x:f>IF($B528="","",IF(COUNTIF(Account_Map!$A$6:$A$31,$B528)&gt;0,"Mapped","UNMAPPED"))</x:f>
      </x:c>
    </x:row>
    <x:row r="529">
      <x:c r="A529" s="290"/>
      <x:c r="F529" s="400"/>
      <x:c r="I529" s="392"/>
      <x:c r="J529" t="str">
        <x:f>IF($B529="","",IF(COUNTIF(Account_Map!$A$6:$A$31,$B529)&gt;0,"Mapped","UNMAPPED"))</x:f>
      </x:c>
    </x:row>
    <x:row r="530">
      <x:c r="A530" s="290"/>
      <x:c r="F530" s="400"/>
      <x:c r="I530" s="392"/>
      <x:c r="J530" t="str">
        <x:f>IF($B530="","",IF(COUNTIF(Account_Map!$A$6:$A$31,$B530)&gt;0,"Mapped","UNMAPPED"))</x:f>
      </x:c>
    </x:row>
    <x:row r="531">
      <x:c r="A531" s="290"/>
      <x:c r="F531" s="400"/>
      <x:c r="I531" s="392"/>
      <x:c r="J531" t="str">
        <x:f>IF($B531="","",IF(COUNTIF(Account_Map!$A$6:$A$31,$B531)&gt;0,"Mapped","UNMAPPED"))</x:f>
      </x:c>
    </x:row>
    <x:row r="532">
      <x:c r="A532" s="290"/>
      <x:c r="F532" s="400"/>
      <x:c r="I532" s="392"/>
      <x:c r="J532" t="str">
        <x:f>IF($B532="","",IF(COUNTIF(Account_Map!$A$6:$A$31,$B532)&gt;0,"Mapped","UNMAPPED"))</x:f>
      </x:c>
    </x:row>
    <x:row r="533">
      <x:c r="A533" s="290"/>
      <x:c r="F533" s="400"/>
      <x:c r="I533" s="392"/>
      <x:c r="J533" t="str">
        <x:f>IF($B533="","",IF(COUNTIF(Account_Map!$A$6:$A$31,$B533)&gt;0,"Mapped","UNMAPPED"))</x:f>
      </x:c>
    </x:row>
    <x:row r="534">
      <x:c r="A534" s="290"/>
      <x:c r="F534" s="400"/>
      <x:c r="I534" s="392"/>
      <x:c r="J534" t="str">
        <x:f>IF($B534="","",IF(COUNTIF(Account_Map!$A$6:$A$31,$B534)&gt;0,"Mapped","UNMAPPED"))</x:f>
      </x:c>
    </x:row>
    <x:row r="535">
      <x:c r="A535" s="290"/>
      <x:c r="F535" s="400"/>
      <x:c r="I535" s="392"/>
      <x:c r="J535" t="str">
        <x:f>IF($B535="","",IF(COUNTIF(Account_Map!$A$6:$A$31,$B535)&gt;0,"Mapped","UNMAPPED"))</x:f>
      </x:c>
    </x:row>
    <x:row r="536">
      <x:c r="A536" s="290"/>
      <x:c r="F536" s="400"/>
      <x:c r="I536" s="392"/>
      <x:c r="J536" t="str">
        <x:f>IF($B536="","",IF(COUNTIF(Account_Map!$A$6:$A$31,$B536)&gt;0,"Mapped","UNMAPPED"))</x:f>
      </x:c>
    </x:row>
    <x:row r="537">
      <x:c r="A537" s="290"/>
      <x:c r="F537" s="400"/>
      <x:c r="I537" s="392"/>
      <x:c r="J537" t="str">
        <x:f>IF($B537="","",IF(COUNTIF(Account_Map!$A$6:$A$31,$B537)&gt;0,"Mapped","UNMAPPED"))</x:f>
      </x:c>
    </x:row>
    <x:row r="538">
      <x:c r="A538" s="290"/>
      <x:c r="F538" s="400"/>
      <x:c r="I538" s="392"/>
      <x:c r="J538" t="str">
        <x:f>IF($B538="","",IF(COUNTIF(Account_Map!$A$6:$A$31,$B538)&gt;0,"Mapped","UNMAPPED"))</x:f>
      </x:c>
    </x:row>
    <x:row r="539">
      <x:c r="A539" s="290"/>
      <x:c r="F539" s="400"/>
      <x:c r="I539" s="392"/>
      <x:c r="J539" t="str">
        <x:f>IF($B539="","",IF(COUNTIF(Account_Map!$A$6:$A$31,$B539)&gt;0,"Mapped","UNMAPPED"))</x:f>
      </x:c>
    </x:row>
    <x:row r="540">
      <x:c r="A540" s="290"/>
      <x:c r="F540" s="400"/>
      <x:c r="I540" s="392"/>
      <x:c r="J540" t="str">
        <x:f>IF($B540="","",IF(COUNTIF(Account_Map!$A$6:$A$31,$B540)&gt;0,"Mapped","UNMAPPED"))</x:f>
      </x:c>
    </x:row>
    <x:row r="541">
      <x:c r="A541" s="290"/>
      <x:c r="F541" s="400"/>
      <x:c r="I541" s="392"/>
      <x:c r="J541" t="str">
        <x:f>IF($B541="","",IF(COUNTIF(Account_Map!$A$6:$A$31,$B541)&gt;0,"Mapped","UNMAPPED"))</x:f>
      </x:c>
    </x:row>
    <x:row r="542">
      <x:c r="A542" s="290"/>
      <x:c r="F542" s="400"/>
      <x:c r="I542" s="392"/>
      <x:c r="J542" t="str">
        <x:f>IF($B542="","",IF(COUNTIF(Account_Map!$A$6:$A$31,$B542)&gt;0,"Mapped","UNMAPPED"))</x:f>
      </x:c>
    </x:row>
    <x:row r="543">
      <x:c r="A543" s="290"/>
      <x:c r="F543" s="400"/>
      <x:c r="I543" s="392"/>
      <x:c r="J543" t="str">
        <x:f>IF($B543="","",IF(COUNTIF(Account_Map!$A$6:$A$31,$B543)&gt;0,"Mapped","UNMAPPED"))</x:f>
      </x:c>
    </x:row>
    <x:row r="544">
      <x:c r="A544" s="290"/>
      <x:c r="F544" s="400"/>
      <x:c r="I544" s="392"/>
      <x:c r="J544" t="str">
        <x:f>IF($B544="","",IF(COUNTIF(Account_Map!$A$6:$A$31,$B544)&gt;0,"Mapped","UNMAPPED"))</x:f>
      </x:c>
    </x:row>
    <x:row r="545">
      <x:c r="A545" s="290"/>
      <x:c r="F545" s="400"/>
      <x:c r="I545" s="392"/>
      <x:c r="J545" t="str">
        <x:f>IF($B545="","",IF(COUNTIF(Account_Map!$A$6:$A$31,$B545)&gt;0,"Mapped","UNMAPPED"))</x:f>
      </x:c>
    </x:row>
    <x:row r="546">
      <x:c r="A546" s="290"/>
      <x:c r="F546" s="400"/>
      <x:c r="I546" s="392"/>
      <x:c r="J546" t="str">
        <x:f>IF($B546="","",IF(COUNTIF(Account_Map!$A$6:$A$31,$B546)&gt;0,"Mapped","UNMAPPED"))</x:f>
      </x:c>
    </x:row>
    <x:row r="547">
      <x:c r="A547" s="290"/>
      <x:c r="F547" s="400"/>
      <x:c r="I547" s="392"/>
      <x:c r="J547" t="str">
        <x:f>IF($B547="","",IF(COUNTIF(Account_Map!$A$6:$A$31,$B547)&gt;0,"Mapped","UNMAPPED"))</x:f>
      </x:c>
    </x:row>
    <x:row r="548">
      <x:c r="A548" s="290"/>
      <x:c r="F548" s="400"/>
      <x:c r="I548" s="392"/>
      <x:c r="J548" t="str">
        <x:f>IF($B548="","",IF(COUNTIF(Account_Map!$A$6:$A$31,$B548)&gt;0,"Mapped","UNMAPPED"))</x:f>
      </x:c>
    </x:row>
    <x:row r="549">
      <x:c r="A549" s="290"/>
      <x:c r="F549" s="400"/>
      <x:c r="I549" s="392"/>
      <x:c r="J549" t="str">
        <x:f>IF($B549="","",IF(COUNTIF(Account_Map!$A$6:$A$31,$B549)&gt;0,"Mapped","UNMAPPED"))</x:f>
      </x:c>
    </x:row>
    <x:row r="550">
      <x:c r="A550" s="290"/>
      <x:c r="F550" s="400"/>
      <x:c r="I550" s="392"/>
      <x:c r="J550" t="str">
        <x:f>IF($B550="","",IF(COUNTIF(Account_Map!$A$6:$A$31,$B550)&gt;0,"Mapped","UNMAPPED"))</x:f>
      </x:c>
    </x:row>
    <x:row r="551">
      <x:c r="A551" s="290"/>
      <x:c r="F551" s="400"/>
      <x:c r="I551" s="392"/>
      <x:c r="J551" t="str">
        <x:f>IF($B551="","",IF(COUNTIF(Account_Map!$A$6:$A$31,$B551)&gt;0,"Mapped","UNMAPPED"))</x:f>
      </x:c>
    </x:row>
    <x:row r="552">
      <x:c r="A552" s="290"/>
      <x:c r="F552" s="400"/>
      <x:c r="I552" s="392"/>
      <x:c r="J552" t="str">
        <x:f>IF($B552="","",IF(COUNTIF(Account_Map!$A$6:$A$31,$B552)&gt;0,"Mapped","UNMAPPED"))</x:f>
      </x:c>
    </x:row>
    <x:row r="553">
      <x:c r="A553" s="290"/>
      <x:c r="F553" s="400"/>
      <x:c r="I553" s="392"/>
      <x:c r="J553" t="str">
        <x:f>IF($B553="","",IF(COUNTIF(Account_Map!$A$6:$A$31,$B553)&gt;0,"Mapped","UNMAPPED"))</x:f>
      </x:c>
    </x:row>
    <x:row r="554">
      <x:c r="A554" s="290"/>
      <x:c r="F554" s="400"/>
      <x:c r="I554" s="392"/>
      <x:c r="J554" t="str">
        <x:f>IF($B554="","",IF(COUNTIF(Account_Map!$A$6:$A$31,$B554)&gt;0,"Mapped","UNMAPPED"))</x:f>
      </x:c>
    </x:row>
    <x:row r="555">
      <x:c r="A555" s="290"/>
      <x:c r="F555" s="400"/>
      <x:c r="I555" s="392"/>
      <x:c r="J555" t="str">
        <x:f>IF($B555="","",IF(COUNTIF(Account_Map!$A$6:$A$31,$B555)&gt;0,"Mapped","UNMAPPED"))</x:f>
      </x:c>
    </x:row>
    <x:row r="556">
      <x:c r="A556" s="290"/>
      <x:c r="F556" s="400"/>
      <x:c r="I556" s="392"/>
      <x:c r="J556" t="str">
        <x:f>IF($B556="","",IF(COUNTIF(Account_Map!$A$6:$A$31,$B556)&gt;0,"Mapped","UNMAPPED"))</x:f>
      </x:c>
    </x:row>
    <x:row r="557">
      <x:c r="A557" s="290"/>
      <x:c r="F557" s="400"/>
      <x:c r="I557" s="392"/>
      <x:c r="J557" t="str">
        <x:f>IF($B557="","",IF(COUNTIF(Account_Map!$A$6:$A$31,$B557)&gt;0,"Mapped","UNMAPPED"))</x:f>
      </x:c>
    </x:row>
    <x:row r="558">
      <x:c r="A558" s="290"/>
      <x:c r="F558" s="400"/>
      <x:c r="I558" s="392"/>
      <x:c r="J558" t="str">
        <x:f>IF($B558="","",IF(COUNTIF(Account_Map!$A$6:$A$31,$B558)&gt;0,"Mapped","UNMAPPED"))</x:f>
      </x:c>
    </x:row>
    <x:row r="559">
      <x:c r="A559" s="290"/>
      <x:c r="F559" s="400"/>
      <x:c r="I559" s="392"/>
      <x:c r="J559" t="str">
        <x:f>IF($B559="","",IF(COUNTIF(Account_Map!$A$6:$A$31,$B559)&gt;0,"Mapped","UNMAPPED"))</x:f>
      </x:c>
    </x:row>
    <x:row r="560">
      <x:c r="A560" s="290"/>
      <x:c r="F560" s="400"/>
      <x:c r="I560" s="392"/>
      <x:c r="J560" t="str">
        <x:f>IF($B560="","",IF(COUNTIF(Account_Map!$A$6:$A$31,$B560)&gt;0,"Mapped","UNMAPPED"))</x:f>
      </x:c>
    </x:row>
    <x:row r="561">
      <x:c r="A561" s="290"/>
      <x:c r="F561" s="400"/>
      <x:c r="I561" s="392"/>
      <x:c r="J561" t="str">
        <x:f>IF($B561="","",IF(COUNTIF(Account_Map!$A$6:$A$31,$B561)&gt;0,"Mapped","UNMAPPED"))</x:f>
      </x:c>
    </x:row>
    <x:row r="562">
      <x:c r="A562" s="290"/>
      <x:c r="F562" s="400"/>
      <x:c r="I562" s="392"/>
      <x:c r="J562" t="str">
        <x:f>IF($B562="","",IF(COUNTIF(Account_Map!$A$6:$A$31,$B562)&gt;0,"Mapped","UNMAPPED"))</x:f>
      </x:c>
    </x:row>
    <x:row r="563">
      <x:c r="A563" s="290"/>
      <x:c r="F563" s="400"/>
      <x:c r="I563" s="392"/>
      <x:c r="J563" t="str">
        <x:f>IF($B563="","",IF(COUNTIF(Account_Map!$A$6:$A$31,$B563)&gt;0,"Mapped","UNMAPPED"))</x:f>
      </x:c>
    </x:row>
    <x:row r="564">
      <x:c r="A564" s="290"/>
      <x:c r="F564" s="400"/>
      <x:c r="I564" s="392"/>
      <x:c r="J564" t="str">
        <x:f>IF($B564="","",IF(COUNTIF(Account_Map!$A$6:$A$31,$B564)&gt;0,"Mapped","UNMAPPED"))</x:f>
      </x:c>
    </x:row>
    <x:row r="565">
      <x:c r="A565" s="290"/>
      <x:c r="F565" s="400"/>
      <x:c r="I565" s="392"/>
      <x:c r="J565" t="str">
        <x:f>IF($B565="","",IF(COUNTIF(Account_Map!$A$6:$A$31,$B565)&gt;0,"Mapped","UNMAPPED"))</x:f>
      </x:c>
    </x:row>
    <x:row r="566">
      <x:c r="A566" s="290"/>
      <x:c r="F566" s="400"/>
      <x:c r="I566" s="392"/>
      <x:c r="J566" t="str">
        <x:f>IF($B566="","",IF(COUNTIF(Account_Map!$A$6:$A$31,$B566)&gt;0,"Mapped","UNMAPPED"))</x:f>
      </x:c>
    </x:row>
    <x:row r="567">
      <x:c r="A567" s="290"/>
      <x:c r="F567" s="400"/>
      <x:c r="I567" s="392"/>
      <x:c r="J567" t="str">
        <x:f>IF($B567="","",IF(COUNTIF(Account_Map!$A$6:$A$31,$B567)&gt;0,"Mapped","UNMAPPED"))</x:f>
      </x:c>
    </x:row>
    <x:row r="568">
      <x:c r="A568" s="290"/>
      <x:c r="F568" s="400"/>
      <x:c r="I568" s="392"/>
      <x:c r="J568" t="str">
        <x:f>IF($B568="","",IF(COUNTIF(Account_Map!$A$6:$A$31,$B568)&gt;0,"Mapped","UNMAPPED"))</x:f>
      </x:c>
    </x:row>
    <x:row r="569">
      <x:c r="A569" s="290"/>
      <x:c r="F569" s="400"/>
      <x:c r="I569" s="392"/>
      <x:c r="J569" t="str">
        <x:f>IF($B569="","",IF(COUNTIF(Account_Map!$A$6:$A$31,$B569)&gt;0,"Mapped","UNMAPPED"))</x:f>
      </x:c>
    </x:row>
    <x:row r="570">
      <x:c r="A570" s="290"/>
      <x:c r="F570" s="400"/>
      <x:c r="I570" s="392"/>
      <x:c r="J570" t="str">
        <x:f>IF($B570="","",IF(COUNTIF(Account_Map!$A$6:$A$31,$B570)&gt;0,"Mapped","UNMAPPED"))</x:f>
      </x:c>
    </x:row>
    <x:row r="571">
      <x:c r="A571" s="290"/>
      <x:c r="F571" s="400"/>
      <x:c r="I571" s="392"/>
      <x:c r="J571" t="str">
        <x:f>IF($B571="","",IF(COUNTIF(Account_Map!$A$6:$A$31,$B571)&gt;0,"Mapped","UNMAPPED"))</x:f>
      </x:c>
    </x:row>
    <x:row r="572">
      <x:c r="A572" s="290"/>
      <x:c r="F572" s="400"/>
      <x:c r="I572" s="392"/>
      <x:c r="J572" t="str">
        <x:f>IF($B572="","",IF(COUNTIF(Account_Map!$A$6:$A$31,$B572)&gt;0,"Mapped","UNMAPPED"))</x:f>
      </x:c>
    </x:row>
    <x:row r="573">
      <x:c r="A573" s="290"/>
      <x:c r="F573" s="400"/>
      <x:c r="I573" s="392"/>
      <x:c r="J573" t="str">
        <x:f>IF($B573="","",IF(COUNTIF(Account_Map!$A$6:$A$31,$B573)&gt;0,"Mapped","UNMAPPED"))</x:f>
      </x:c>
    </x:row>
    <x:row r="574">
      <x:c r="A574" s="290"/>
      <x:c r="F574" s="400"/>
      <x:c r="I574" s="392"/>
      <x:c r="J574" t="str">
        <x:f>IF($B574="","",IF(COUNTIF(Account_Map!$A$6:$A$31,$B574)&gt;0,"Mapped","UNMAPPED"))</x:f>
      </x:c>
    </x:row>
    <x:row r="575">
      <x:c r="A575" s="290"/>
      <x:c r="F575" s="400"/>
      <x:c r="I575" s="392"/>
      <x:c r="J575" t="str">
        <x:f>IF($B575="","",IF(COUNTIF(Account_Map!$A$6:$A$31,$B575)&gt;0,"Mapped","UNMAPPED"))</x:f>
      </x:c>
    </x:row>
    <x:row r="576">
      <x:c r="A576" s="290"/>
      <x:c r="F576" s="400"/>
      <x:c r="I576" s="392"/>
      <x:c r="J576" t="str">
        <x:f>IF($B576="","",IF(COUNTIF(Account_Map!$A$6:$A$31,$B576)&gt;0,"Mapped","UNMAPPED"))</x:f>
      </x:c>
    </x:row>
    <x:row r="577">
      <x:c r="A577" s="290"/>
      <x:c r="F577" s="400"/>
      <x:c r="I577" s="392"/>
      <x:c r="J577" t="str">
        <x:f>IF($B577="","",IF(COUNTIF(Account_Map!$A$6:$A$31,$B577)&gt;0,"Mapped","UNMAPPED"))</x:f>
      </x:c>
    </x:row>
    <x:row r="578">
      <x:c r="A578" s="290"/>
      <x:c r="F578" s="400"/>
      <x:c r="I578" s="392"/>
      <x:c r="J578" t="str">
        <x:f>IF($B578="","",IF(COUNTIF(Account_Map!$A$6:$A$31,$B578)&gt;0,"Mapped","UNMAPPED"))</x:f>
      </x:c>
    </x:row>
    <x:row r="579">
      <x:c r="A579" s="290"/>
      <x:c r="F579" s="400"/>
      <x:c r="I579" s="392"/>
      <x:c r="J579" t="str">
        <x:f>IF($B579="","",IF(COUNTIF(Account_Map!$A$6:$A$31,$B579)&gt;0,"Mapped","UNMAPPED"))</x:f>
      </x:c>
    </x:row>
    <x:row r="580">
      <x:c r="A580" s="290"/>
      <x:c r="F580" s="400"/>
      <x:c r="I580" s="392"/>
      <x:c r="J580" t="str">
        <x:f>IF($B580="","",IF(COUNTIF(Account_Map!$A$6:$A$31,$B580)&gt;0,"Mapped","UNMAPPED"))</x:f>
      </x:c>
    </x:row>
    <x:row r="581">
      <x:c r="A581" s="290"/>
      <x:c r="F581" s="400"/>
      <x:c r="I581" s="392"/>
      <x:c r="J581" t="str">
        <x:f>IF($B581="","",IF(COUNTIF(Account_Map!$A$6:$A$31,$B581)&gt;0,"Mapped","UNMAPPED"))</x:f>
      </x:c>
    </x:row>
    <x:row r="582">
      <x:c r="A582" s="290"/>
      <x:c r="F582" s="400"/>
      <x:c r="I582" s="392"/>
      <x:c r="J582" t="str">
        <x:f>IF($B582="","",IF(COUNTIF(Account_Map!$A$6:$A$31,$B582)&gt;0,"Mapped","UNMAPPED"))</x:f>
      </x:c>
    </x:row>
    <x:row r="583">
      <x:c r="A583" s="290"/>
      <x:c r="F583" s="400"/>
      <x:c r="I583" s="392"/>
      <x:c r="J583" t="str">
        <x:f>IF($B583="","",IF(COUNTIF(Account_Map!$A$6:$A$31,$B583)&gt;0,"Mapped","UNMAPPED"))</x:f>
      </x:c>
    </x:row>
    <x:row r="584">
      <x:c r="A584" s="290"/>
      <x:c r="F584" s="400"/>
      <x:c r="I584" s="392"/>
      <x:c r="J584" t="str">
        <x:f>IF($B584="","",IF(COUNTIF(Account_Map!$A$6:$A$31,$B584)&gt;0,"Mapped","UNMAPPED"))</x:f>
      </x:c>
    </x:row>
    <x:row r="585">
      <x:c r="A585" s="290"/>
      <x:c r="F585" s="400"/>
      <x:c r="I585" s="392"/>
      <x:c r="J585" t="str">
        <x:f>IF($B585="","",IF(COUNTIF(Account_Map!$A$6:$A$31,$B585)&gt;0,"Mapped","UNMAPPED"))</x:f>
      </x:c>
    </x:row>
    <x:row r="586">
      <x:c r="A586" s="290"/>
      <x:c r="F586" s="400"/>
      <x:c r="I586" s="392"/>
      <x:c r="J586" t="str">
        <x:f>IF($B586="","",IF(COUNTIF(Account_Map!$A$6:$A$31,$B586)&gt;0,"Mapped","UNMAPPED"))</x:f>
      </x:c>
    </x:row>
    <x:row r="587">
      <x:c r="A587" s="290"/>
      <x:c r="F587" s="400"/>
      <x:c r="I587" s="392"/>
      <x:c r="J587" t="str">
        <x:f>IF($B587="","",IF(COUNTIF(Account_Map!$A$6:$A$31,$B587)&gt;0,"Mapped","UNMAPPED"))</x:f>
      </x:c>
    </x:row>
    <x:row r="588">
      <x:c r="A588" s="290"/>
      <x:c r="F588" s="400"/>
      <x:c r="I588" s="392"/>
      <x:c r="J588" t="str">
        <x:f>IF($B588="","",IF(COUNTIF(Account_Map!$A$6:$A$31,$B588)&gt;0,"Mapped","UNMAPPED"))</x:f>
      </x:c>
    </x:row>
    <x:row r="589">
      <x:c r="A589" s="290"/>
      <x:c r="F589" s="400"/>
      <x:c r="I589" s="392"/>
      <x:c r="J589" t="str">
        <x:f>IF($B589="","",IF(COUNTIF(Account_Map!$A$6:$A$31,$B589)&gt;0,"Mapped","UNMAPPED"))</x:f>
      </x:c>
    </x:row>
    <x:row r="590">
      <x:c r="A590" s="290"/>
      <x:c r="F590" s="400"/>
      <x:c r="I590" s="392"/>
      <x:c r="J590" t="str">
        <x:f>IF($B590="","",IF(COUNTIF(Account_Map!$A$6:$A$31,$B590)&gt;0,"Mapped","UNMAPPED"))</x:f>
      </x:c>
    </x:row>
    <x:row r="591">
      <x:c r="A591" s="290"/>
      <x:c r="F591" s="400"/>
      <x:c r="I591" s="392"/>
      <x:c r="J591" t="str">
        <x:f>IF($B591="","",IF(COUNTIF(Account_Map!$A$6:$A$31,$B591)&gt;0,"Mapped","UNMAPPED"))</x:f>
      </x:c>
    </x:row>
    <x:row r="592">
      <x:c r="A592" s="290"/>
      <x:c r="F592" s="400"/>
      <x:c r="I592" s="392"/>
      <x:c r="J592" t="str">
        <x:f>IF($B592="","",IF(COUNTIF(Account_Map!$A$6:$A$31,$B592)&gt;0,"Mapped","UNMAPPED"))</x:f>
      </x:c>
    </x:row>
    <x:row r="593">
      <x:c r="A593" s="290"/>
      <x:c r="F593" s="400"/>
      <x:c r="I593" s="392"/>
      <x:c r="J593" t="str">
        <x:f>IF($B593="","",IF(COUNTIF(Account_Map!$A$6:$A$31,$B593)&gt;0,"Mapped","UNMAPPED"))</x:f>
      </x:c>
    </x:row>
    <x:row r="594">
      <x:c r="A594" s="290"/>
      <x:c r="F594" s="400"/>
      <x:c r="I594" s="392"/>
      <x:c r="J594" t="str">
        <x:f>IF($B594="","",IF(COUNTIF(Account_Map!$A$6:$A$31,$B594)&gt;0,"Mapped","UNMAPPED"))</x:f>
      </x:c>
    </x:row>
    <x:row r="595">
      <x:c r="A595" s="290"/>
      <x:c r="F595" s="400"/>
      <x:c r="I595" s="392"/>
      <x:c r="J595" t="str">
        <x:f>IF($B595="","",IF(COUNTIF(Account_Map!$A$6:$A$31,$B595)&gt;0,"Mapped","UNMAPPED"))</x:f>
      </x:c>
    </x:row>
    <x:row r="596">
      <x:c r="A596" s="290"/>
      <x:c r="F596" s="400"/>
      <x:c r="I596" s="392"/>
      <x:c r="J596" t="str">
        <x:f>IF($B596="","",IF(COUNTIF(Account_Map!$A$6:$A$31,$B596)&gt;0,"Mapped","UNMAPPED"))</x:f>
      </x:c>
    </x:row>
    <x:row r="597">
      <x:c r="A597" s="290"/>
      <x:c r="F597" s="400"/>
      <x:c r="I597" s="392"/>
      <x:c r="J597" t="str">
        <x:f>IF($B597="","",IF(COUNTIF(Account_Map!$A$6:$A$31,$B597)&gt;0,"Mapped","UNMAPPED"))</x:f>
      </x:c>
    </x:row>
    <x:row r="598">
      <x:c r="A598" s="290"/>
      <x:c r="F598" s="400"/>
      <x:c r="I598" s="392"/>
      <x:c r="J598" t="str">
        <x:f>IF($B598="","",IF(COUNTIF(Account_Map!$A$6:$A$31,$B598)&gt;0,"Mapped","UNMAPPED"))</x:f>
      </x:c>
    </x:row>
    <x:row r="599">
      <x:c r="A599" s="290"/>
      <x:c r="F599" s="400"/>
      <x:c r="I599" s="392"/>
      <x:c r="J599" t="str">
        <x:f>IF($B599="","",IF(COUNTIF(Account_Map!$A$6:$A$31,$B599)&gt;0,"Mapped","UNMAPPED"))</x:f>
      </x:c>
    </x:row>
    <x:row r="600">
      <x:c r="A600" s="290"/>
      <x:c r="F600" s="400"/>
      <x:c r="I600" s="392"/>
      <x:c r="J600" t="str">
        <x:f>IF($B600="","",IF(COUNTIF(Account_Map!$A$6:$A$31,$B600)&gt;0,"Mapped","UNMAPPED"))</x:f>
      </x:c>
    </x:row>
    <x:row r="601">
      <x:c r="A601" s="290"/>
      <x:c r="F601" s="400"/>
      <x:c r="I601" s="392"/>
      <x:c r="J601" t="str">
        <x:f>IF($B601="","",IF(COUNTIF(Account_Map!$A$6:$A$31,$B601)&gt;0,"Mapped","UNMAPPED"))</x:f>
      </x:c>
    </x:row>
    <x:row r="602">
      <x:c r="A602" s="290"/>
      <x:c r="F602" s="400"/>
      <x:c r="I602" s="392"/>
      <x:c r="J602" t="str">
        <x:f>IF($B602="","",IF(COUNTIF(Account_Map!$A$6:$A$31,$B602)&gt;0,"Mapped","UNMAPPED"))</x:f>
      </x:c>
    </x:row>
    <x:row r="603">
      <x:c r="A603" s="290"/>
      <x:c r="F603" s="400"/>
      <x:c r="I603" s="392"/>
      <x:c r="J603" t="str">
        <x:f>IF($B603="","",IF(COUNTIF(Account_Map!$A$6:$A$31,$B603)&gt;0,"Mapped","UNMAPPED"))</x:f>
      </x:c>
    </x:row>
    <x:row r="604">
      <x:c r="A604" s="290"/>
      <x:c r="F604" s="400"/>
      <x:c r="I604" s="392"/>
      <x:c r="J604" t="str">
        <x:f>IF($B604="","",IF(COUNTIF(Account_Map!$A$6:$A$31,$B604)&gt;0,"Mapped","UNMAPPED"))</x:f>
      </x:c>
    </x:row>
    <x:row r="605">
      <x:c r="A605" s="290"/>
      <x:c r="F605" s="400"/>
      <x:c r="I605" s="392"/>
      <x:c r="J605" t="str">
        <x:f>IF($B605="","",IF(COUNTIF(Account_Map!$A$6:$A$31,$B605)&gt;0,"Mapped","UNMAPPED"))</x:f>
      </x:c>
    </x:row>
    <x:row r="606">
      <x:c r="A606" s="290"/>
      <x:c r="F606" s="400"/>
      <x:c r="I606" s="392"/>
      <x:c r="J606" t="str">
        <x:f>IF($B606="","",IF(COUNTIF(Account_Map!$A$6:$A$31,$B606)&gt;0,"Mapped","UNMAPPED"))</x:f>
      </x:c>
    </x:row>
    <x:row r="607">
      <x:c r="A607" s="290"/>
      <x:c r="F607" s="400"/>
      <x:c r="I607" s="392"/>
      <x:c r="J607" t="str">
        <x:f>IF($B607="","",IF(COUNTIF(Account_Map!$A$6:$A$31,$B607)&gt;0,"Mapped","UNMAPPED"))</x:f>
      </x:c>
    </x:row>
    <x:row r="608">
      <x:c r="A608" s="290"/>
      <x:c r="F608" s="400"/>
      <x:c r="I608" s="392"/>
      <x:c r="J608" t="str">
        <x:f>IF($B608="","",IF(COUNTIF(Account_Map!$A$6:$A$31,$B608)&gt;0,"Mapped","UNMAPPED"))</x:f>
      </x:c>
    </x:row>
    <x:row r="609">
      <x:c r="A609" s="290"/>
      <x:c r="F609" s="400"/>
      <x:c r="I609" s="392"/>
      <x:c r="J609" t="str">
        <x:f>IF($B609="","",IF(COUNTIF(Account_Map!$A$6:$A$31,$B609)&gt;0,"Mapped","UNMAPPED"))</x:f>
      </x:c>
    </x:row>
    <x:row r="610">
      <x:c r="A610" s="290"/>
      <x:c r="F610" s="400"/>
      <x:c r="I610" s="392"/>
      <x:c r="J610" t="str">
        <x:f>IF($B610="","",IF(COUNTIF(Account_Map!$A$6:$A$31,$B610)&gt;0,"Mapped","UNMAPPED"))</x:f>
      </x:c>
    </x:row>
    <x:row r="611">
      <x:c r="A611" s="290"/>
      <x:c r="F611" s="400"/>
      <x:c r="I611" s="392"/>
      <x:c r="J611" t="str">
        <x:f>IF($B611="","",IF(COUNTIF(Account_Map!$A$6:$A$31,$B611)&gt;0,"Mapped","UNMAPPED"))</x:f>
      </x:c>
    </x:row>
    <x:row r="612">
      <x:c r="A612" s="290"/>
      <x:c r="F612" s="400"/>
      <x:c r="I612" s="392"/>
      <x:c r="J612" t="str">
        <x:f>IF($B612="","",IF(COUNTIF(Account_Map!$A$6:$A$31,$B612)&gt;0,"Mapped","UNMAPPED"))</x:f>
      </x:c>
    </x:row>
    <x:row r="613">
      <x:c r="A613" s="290"/>
      <x:c r="F613" s="400"/>
      <x:c r="I613" s="392"/>
      <x:c r="J613" t="str">
        <x:f>IF($B613="","",IF(COUNTIF(Account_Map!$A$6:$A$31,$B613)&gt;0,"Mapped","UNMAPPED"))</x:f>
      </x:c>
    </x:row>
    <x:row r="614">
      <x:c r="A614" s="290"/>
      <x:c r="F614" s="400"/>
      <x:c r="I614" s="392"/>
      <x:c r="J614" t="str">
        <x:f>IF($B614="","",IF(COUNTIF(Account_Map!$A$6:$A$31,$B614)&gt;0,"Mapped","UNMAPPED"))</x:f>
      </x:c>
    </x:row>
    <x:row r="615">
      <x:c r="A615" s="290"/>
      <x:c r="F615" s="400"/>
      <x:c r="I615" s="392"/>
      <x:c r="J615" t="str">
        <x:f>IF($B615="","",IF(COUNTIF(Account_Map!$A$6:$A$31,$B615)&gt;0,"Mapped","UNMAPPED"))</x:f>
      </x:c>
    </x:row>
    <x:row r="616">
      <x:c r="A616" s="290"/>
      <x:c r="F616" s="400"/>
      <x:c r="I616" s="392"/>
      <x:c r="J616" t="str">
        <x:f>IF($B616="","",IF(COUNTIF(Account_Map!$A$6:$A$31,$B616)&gt;0,"Mapped","UNMAPPED"))</x:f>
      </x:c>
    </x:row>
    <x:row r="617">
      <x:c r="A617" s="290"/>
      <x:c r="F617" s="400"/>
      <x:c r="I617" s="392"/>
      <x:c r="J617" t="str">
        <x:f>IF($B617="","",IF(COUNTIF(Account_Map!$A$6:$A$31,$B617)&gt;0,"Mapped","UNMAPPED"))</x:f>
      </x:c>
    </x:row>
    <x:row r="618">
      <x:c r="A618" s="290"/>
      <x:c r="F618" s="400"/>
      <x:c r="I618" s="392"/>
      <x:c r="J618" t="str">
        <x:f>IF($B618="","",IF(COUNTIF(Account_Map!$A$6:$A$31,$B618)&gt;0,"Mapped","UNMAPPED"))</x:f>
      </x:c>
    </x:row>
    <x:row r="619">
      <x:c r="A619" s="290"/>
      <x:c r="F619" s="400"/>
      <x:c r="I619" s="392"/>
      <x:c r="J619" t="str">
        <x:f>IF($B619="","",IF(COUNTIF(Account_Map!$A$6:$A$31,$B619)&gt;0,"Mapped","UNMAPPED"))</x:f>
      </x:c>
    </x:row>
    <x:row r="620">
      <x:c r="A620" s="290"/>
      <x:c r="F620" s="400"/>
      <x:c r="I620" s="392"/>
      <x:c r="J620" t="str">
        <x:f>IF($B620="","",IF(COUNTIF(Account_Map!$A$6:$A$31,$B620)&gt;0,"Mapped","UNMAPPED"))</x:f>
      </x:c>
    </x:row>
    <x:row r="621">
      <x:c r="A621" s="290"/>
      <x:c r="F621" s="400"/>
      <x:c r="I621" s="392"/>
      <x:c r="J621" t="str">
        <x:f>IF($B621="","",IF(COUNTIF(Account_Map!$A$6:$A$31,$B621)&gt;0,"Mapped","UNMAPPED"))</x:f>
      </x:c>
    </x:row>
    <x:row r="622">
      <x:c r="A622" s="290"/>
      <x:c r="F622" s="400"/>
      <x:c r="I622" s="392"/>
      <x:c r="J622" t="str">
        <x:f>IF($B622="","",IF(COUNTIF(Account_Map!$A$6:$A$31,$B622)&gt;0,"Mapped","UNMAPPED"))</x:f>
      </x:c>
    </x:row>
    <x:row r="623">
      <x:c r="A623" s="290"/>
      <x:c r="F623" s="400"/>
      <x:c r="I623" s="392"/>
      <x:c r="J623" t="str">
        <x:f>IF($B623="","",IF(COUNTIF(Account_Map!$A$6:$A$31,$B623)&gt;0,"Mapped","UNMAPPED"))</x:f>
      </x:c>
    </x:row>
    <x:row r="624">
      <x:c r="A624" s="290"/>
      <x:c r="F624" s="400"/>
      <x:c r="I624" s="392"/>
      <x:c r="J624" t="str">
        <x:f>IF($B624="","",IF(COUNTIF(Account_Map!$A$6:$A$31,$B624)&gt;0,"Mapped","UNMAPPED"))</x:f>
      </x:c>
    </x:row>
    <x:row r="625">
      <x:c r="A625" s="290"/>
      <x:c r="F625" s="400"/>
      <x:c r="I625" s="392"/>
      <x:c r="J625" t="str">
        <x:f>IF($B625="","",IF(COUNTIF(Account_Map!$A$6:$A$31,$B625)&gt;0,"Mapped","UNMAPPED"))</x:f>
      </x:c>
    </x:row>
    <x:row r="626">
      <x:c r="A626" s="290"/>
      <x:c r="F626" s="400"/>
      <x:c r="I626" s="392"/>
      <x:c r="J626" t="str">
        <x:f>IF($B626="","",IF(COUNTIF(Account_Map!$A$6:$A$31,$B626)&gt;0,"Mapped","UNMAPPED"))</x:f>
      </x:c>
    </x:row>
    <x:row r="627">
      <x:c r="A627" s="290"/>
      <x:c r="F627" s="400"/>
      <x:c r="I627" s="392"/>
      <x:c r="J627" t="str">
        <x:f>IF($B627="","",IF(COUNTIF(Account_Map!$A$6:$A$31,$B627)&gt;0,"Mapped","UNMAPPED"))</x:f>
      </x:c>
    </x:row>
    <x:row r="628">
      <x:c r="A628" s="290"/>
      <x:c r="F628" s="400"/>
      <x:c r="I628" s="392"/>
      <x:c r="J628" t="str">
        <x:f>IF($B628="","",IF(COUNTIF(Account_Map!$A$6:$A$31,$B628)&gt;0,"Mapped","UNMAPPED"))</x:f>
      </x:c>
    </x:row>
    <x:row r="629">
      <x:c r="A629" s="290"/>
      <x:c r="F629" s="400"/>
      <x:c r="I629" s="392"/>
      <x:c r="J629" t="str">
        <x:f>IF($B629="","",IF(COUNTIF(Account_Map!$A$6:$A$31,$B629)&gt;0,"Mapped","UNMAPPED"))</x:f>
      </x:c>
    </x:row>
    <x:row r="630">
      <x:c r="A630" s="290"/>
      <x:c r="F630" s="400"/>
      <x:c r="I630" s="392"/>
      <x:c r="J630" t="str">
        <x:f>IF($B630="","",IF(COUNTIF(Account_Map!$A$6:$A$31,$B630)&gt;0,"Mapped","UNMAPPED"))</x:f>
      </x:c>
    </x:row>
    <x:row r="631">
      <x:c r="A631" s="290"/>
      <x:c r="F631" s="400"/>
      <x:c r="I631" s="392"/>
      <x:c r="J631" t="str">
        <x:f>IF($B631="","",IF(COUNTIF(Account_Map!$A$6:$A$31,$B631)&gt;0,"Mapped","UNMAPPED"))</x:f>
      </x:c>
    </x:row>
    <x:row r="632">
      <x:c r="A632" s="290"/>
      <x:c r="F632" s="400"/>
      <x:c r="I632" s="392"/>
      <x:c r="J632" t="str">
        <x:f>IF($B632="","",IF(COUNTIF(Account_Map!$A$6:$A$31,$B632)&gt;0,"Mapped","UNMAPPED"))</x:f>
      </x:c>
    </x:row>
    <x:row r="633">
      <x:c r="A633" s="290"/>
      <x:c r="F633" s="400"/>
      <x:c r="I633" s="392"/>
      <x:c r="J633" t="str">
        <x:f>IF($B633="","",IF(COUNTIF(Account_Map!$A$6:$A$31,$B633)&gt;0,"Mapped","UNMAPPED"))</x:f>
      </x:c>
    </x:row>
    <x:row r="634">
      <x:c r="A634" s="290"/>
      <x:c r="F634" s="400"/>
      <x:c r="I634" s="392"/>
      <x:c r="J634" t="str">
        <x:f>IF($B634="","",IF(COUNTIF(Account_Map!$A$6:$A$31,$B634)&gt;0,"Mapped","UNMAPPED"))</x:f>
      </x:c>
    </x:row>
    <x:row r="635">
      <x:c r="A635" s="290"/>
      <x:c r="F635" s="400"/>
      <x:c r="I635" s="392"/>
      <x:c r="J635" t="str">
        <x:f>IF($B635="","",IF(COUNTIF(Account_Map!$A$6:$A$31,$B635)&gt;0,"Mapped","UNMAPPED"))</x:f>
      </x:c>
    </x:row>
    <x:row r="636">
      <x:c r="A636" s="290"/>
      <x:c r="F636" s="400"/>
      <x:c r="I636" s="392"/>
      <x:c r="J636" t="str">
        <x:f>IF($B636="","",IF(COUNTIF(Account_Map!$A$6:$A$31,$B636)&gt;0,"Mapped","UNMAPPED"))</x:f>
      </x:c>
    </x:row>
    <x:row r="637">
      <x:c r="A637" s="290"/>
      <x:c r="F637" s="400"/>
      <x:c r="I637" s="392"/>
      <x:c r="J637" t="str">
        <x:f>IF($B637="","",IF(COUNTIF(Account_Map!$A$6:$A$31,$B637)&gt;0,"Mapped","UNMAPPED"))</x:f>
      </x:c>
    </x:row>
    <x:row r="638">
      <x:c r="A638" s="290"/>
      <x:c r="F638" s="400"/>
      <x:c r="I638" s="392"/>
      <x:c r="J638" t="str">
        <x:f>IF($B638="","",IF(COUNTIF(Account_Map!$A$6:$A$31,$B638)&gt;0,"Mapped","UNMAPPED"))</x:f>
      </x:c>
    </x:row>
    <x:row r="639">
      <x:c r="A639" s="290"/>
      <x:c r="F639" s="400"/>
      <x:c r="I639" s="392"/>
      <x:c r="J639" t="str">
        <x:f>IF($B639="","",IF(COUNTIF(Account_Map!$A$6:$A$31,$B639)&gt;0,"Mapped","UNMAPPED"))</x:f>
      </x:c>
    </x:row>
    <x:row r="640">
      <x:c r="A640" s="290"/>
      <x:c r="F640" s="400"/>
      <x:c r="I640" s="392"/>
      <x:c r="J640" t="str">
        <x:f>IF($B640="","",IF(COUNTIF(Account_Map!$A$6:$A$31,$B640)&gt;0,"Mapped","UNMAPPED"))</x:f>
      </x:c>
    </x:row>
    <x:row r="641">
      <x:c r="A641" s="290"/>
      <x:c r="F641" s="400"/>
      <x:c r="I641" s="392"/>
      <x:c r="J641" t="str">
        <x:f>IF($B641="","",IF(COUNTIF(Account_Map!$A$6:$A$31,$B641)&gt;0,"Mapped","UNMAPPED"))</x:f>
      </x:c>
    </x:row>
    <x:row r="642">
      <x:c r="A642" s="290"/>
      <x:c r="F642" s="400"/>
      <x:c r="I642" s="392"/>
      <x:c r="J642" t="str">
        <x:f>IF($B642="","",IF(COUNTIF(Account_Map!$A$6:$A$31,$B642)&gt;0,"Mapped","UNMAPPED"))</x:f>
      </x:c>
    </x:row>
    <x:row r="643">
      <x:c r="A643" s="290"/>
      <x:c r="F643" s="400"/>
      <x:c r="I643" s="392"/>
      <x:c r="J643" t="str">
        <x:f>IF($B643="","",IF(COUNTIF(Account_Map!$A$6:$A$31,$B643)&gt;0,"Mapped","UNMAPPED"))</x:f>
      </x:c>
    </x:row>
    <x:row r="644">
      <x:c r="A644" s="290"/>
      <x:c r="F644" s="400"/>
      <x:c r="I644" s="392"/>
      <x:c r="J644" t="str">
        <x:f>IF($B644="","",IF(COUNTIF(Account_Map!$A$6:$A$31,$B644)&gt;0,"Mapped","UNMAPPED"))</x:f>
      </x:c>
    </x:row>
    <x:row r="645">
      <x:c r="A645" s="290"/>
      <x:c r="F645" s="400"/>
      <x:c r="I645" s="392"/>
      <x:c r="J645" t="str">
        <x:f>IF($B645="","",IF(COUNTIF(Account_Map!$A$6:$A$31,$B645)&gt;0,"Mapped","UNMAPPED"))</x:f>
      </x:c>
    </x:row>
    <x:row r="646">
      <x:c r="A646" s="290"/>
      <x:c r="F646" s="400"/>
      <x:c r="I646" s="392"/>
      <x:c r="J646" t="str">
        <x:f>IF($B646="","",IF(COUNTIF(Account_Map!$A$6:$A$31,$B646)&gt;0,"Mapped","UNMAPPED"))</x:f>
      </x:c>
    </x:row>
    <x:row r="647">
      <x:c r="A647" s="290"/>
      <x:c r="F647" s="400"/>
      <x:c r="I647" s="392"/>
      <x:c r="J647" t="str">
        <x:f>IF($B647="","",IF(COUNTIF(Account_Map!$A$6:$A$31,$B647)&gt;0,"Mapped","UNMAPPED"))</x:f>
      </x:c>
    </x:row>
    <x:row r="648">
      <x:c r="A648" s="290"/>
      <x:c r="F648" s="400"/>
      <x:c r="I648" s="392"/>
      <x:c r="J648" t="str">
        <x:f>IF($B648="","",IF(COUNTIF(Account_Map!$A$6:$A$31,$B648)&gt;0,"Mapped","UNMAPPED"))</x:f>
      </x:c>
    </x:row>
    <x:row r="649">
      <x:c r="A649" s="290"/>
      <x:c r="F649" s="400"/>
      <x:c r="I649" s="392"/>
      <x:c r="J649" t="str">
        <x:f>IF($B649="","",IF(COUNTIF(Account_Map!$A$6:$A$31,$B649)&gt;0,"Mapped","UNMAPPED"))</x:f>
      </x:c>
    </x:row>
    <x:row r="650">
      <x:c r="A650" s="290"/>
      <x:c r="F650" s="400"/>
      <x:c r="I650" s="392"/>
      <x:c r="J650" t="str">
        <x:f>IF($B650="","",IF(COUNTIF(Account_Map!$A$6:$A$31,$B650)&gt;0,"Mapped","UNMAPPED"))</x:f>
      </x:c>
    </x:row>
    <x:row r="651">
      <x:c r="A651" s="290"/>
      <x:c r="F651" s="400"/>
      <x:c r="I651" s="392"/>
      <x:c r="J651" t="str">
        <x:f>IF($B651="","",IF(COUNTIF(Account_Map!$A$6:$A$31,$B651)&gt;0,"Mapped","UNMAPPED"))</x:f>
      </x:c>
    </x:row>
    <x:row r="652">
      <x:c r="A652" s="290"/>
      <x:c r="F652" s="400"/>
      <x:c r="I652" s="392"/>
      <x:c r="J652" t="str">
        <x:f>IF($B652="","",IF(COUNTIF(Account_Map!$A$6:$A$31,$B652)&gt;0,"Mapped","UNMAPPED"))</x:f>
      </x:c>
    </x:row>
    <x:row r="653">
      <x:c r="A653" s="290"/>
      <x:c r="F653" s="400"/>
      <x:c r="I653" s="392"/>
      <x:c r="J653" t="str">
        <x:f>IF($B653="","",IF(COUNTIF(Account_Map!$A$6:$A$31,$B653)&gt;0,"Mapped","UNMAPPED"))</x:f>
      </x:c>
    </x:row>
    <x:row r="654">
      <x:c r="A654" s="290"/>
      <x:c r="F654" s="400"/>
      <x:c r="I654" s="392"/>
      <x:c r="J654" t="str">
        <x:f>IF($B654="","",IF(COUNTIF(Account_Map!$A$6:$A$31,$B654)&gt;0,"Mapped","UNMAPPED"))</x:f>
      </x:c>
    </x:row>
    <x:row r="655">
      <x:c r="A655" s="290"/>
      <x:c r="F655" s="400"/>
      <x:c r="I655" s="392"/>
      <x:c r="J655" t="str">
        <x:f>IF($B655="","",IF(COUNTIF(Account_Map!$A$6:$A$31,$B655)&gt;0,"Mapped","UNMAPPED"))</x:f>
      </x:c>
    </x:row>
    <x:row r="656">
      <x:c r="A656" s="290"/>
      <x:c r="F656" s="400"/>
      <x:c r="I656" s="392"/>
      <x:c r="J656" t="str">
        <x:f>IF($B656="","",IF(COUNTIF(Account_Map!$A$6:$A$31,$B656)&gt;0,"Mapped","UNMAPPED"))</x:f>
      </x:c>
    </x:row>
    <x:row r="657">
      <x:c r="A657" s="290"/>
      <x:c r="F657" s="400"/>
      <x:c r="I657" s="392"/>
      <x:c r="J657" t="str">
        <x:f>IF($B657="","",IF(COUNTIF(Account_Map!$A$6:$A$31,$B657)&gt;0,"Mapped","UNMAPPED"))</x:f>
      </x:c>
    </x:row>
    <x:row r="658">
      <x:c r="A658" s="290"/>
      <x:c r="F658" s="400"/>
      <x:c r="I658" s="392"/>
      <x:c r="J658" t="str">
        <x:f>IF($B658="","",IF(COUNTIF(Account_Map!$A$6:$A$31,$B658)&gt;0,"Mapped","UNMAPPED"))</x:f>
      </x:c>
    </x:row>
    <x:row r="659">
      <x:c r="A659" s="290"/>
      <x:c r="F659" s="400"/>
      <x:c r="I659" s="392"/>
      <x:c r="J659" t="str">
        <x:f>IF($B659="","",IF(COUNTIF(Account_Map!$A$6:$A$31,$B659)&gt;0,"Mapped","UNMAPPED"))</x:f>
      </x:c>
    </x:row>
    <x:row r="660">
      <x:c r="A660" s="290"/>
      <x:c r="F660" s="400"/>
      <x:c r="I660" s="392"/>
      <x:c r="J660" t="str">
        <x:f>IF($B660="","",IF(COUNTIF(Account_Map!$A$6:$A$31,$B660)&gt;0,"Mapped","UNMAPPED"))</x:f>
      </x:c>
    </x:row>
    <x:row r="661">
      <x:c r="A661" s="290"/>
      <x:c r="F661" s="400"/>
      <x:c r="I661" s="392"/>
      <x:c r="J661" t="str">
        <x:f>IF($B661="","",IF(COUNTIF(Account_Map!$A$6:$A$31,$B661)&gt;0,"Mapped","UNMAPPED"))</x:f>
      </x:c>
    </x:row>
    <x:row r="662">
      <x:c r="A662" s="290"/>
      <x:c r="F662" s="400"/>
      <x:c r="I662" s="392"/>
      <x:c r="J662" t="str">
        <x:f>IF($B662="","",IF(COUNTIF(Account_Map!$A$6:$A$31,$B662)&gt;0,"Mapped","UNMAPPED"))</x:f>
      </x:c>
    </x:row>
    <x:row r="663">
      <x:c r="A663" s="290"/>
      <x:c r="F663" s="400"/>
      <x:c r="I663" s="392"/>
      <x:c r="J663" t="str">
        <x:f>IF($B663="","",IF(COUNTIF(Account_Map!$A$6:$A$31,$B663)&gt;0,"Mapped","UNMAPPED"))</x:f>
      </x:c>
    </x:row>
    <x:row r="664">
      <x:c r="A664" s="290"/>
      <x:c r="F664" s="400"/>
      <x:c r="I664" s="392"/>
      <x:c r="J664" t="str">
        <x:f>IF($B664="","",IF(COUNTIF(Account_Map!$A$6:$A$31,$B664)&gt;0,"Mapped","UNMAPPED"))</x:f>
      </x:c>
    </x:row>
    <x:row r="665">
      <x:c r="A665" s="290"/>
      <x:c r="F665" s="400"/>
      <x:c r="I665" s="392"/>
      <x:c r="J665" t="str">
        <x:f>IF($B665="","",IF(COUNTIF(Account_Map!$A$6:$A$31,$B665)&gt;0,"Mapped","UNMAPPED"))</x:f>
      </x:c>
    </x:row>
    <x:row r="666">
      <x:c r="A666" s="290"/>
      <x:c r="F666" s="400"/>
      <x:c r="I666" s="392"/>
      <x:c r="J666" t="str">
        <x:f>IF($B666="","",IF(COUNTIF(Account_Map!$A$6:$A$31,$B666)&gt;0,"Mapped","UNMAPPED"))</x:f>
      </x:c>
    </x:row>
    <x:row r="667">
      <x:c r="A667" s="290"/>
      <x:c r="F667" s="400"/>
      <x:c r="I667" s="392"/>
      <x:c r="J667" t="str">
        <x:f>IF($B667="","",IF(COUNTIF(Account_Map!$A$6:$A$31,$B667)&gt;0,"Mapped","UNMAPPED"))</x:f>
      </x:c>
    </x:row>
    <x:row r="668">
      <x:c r="A668" s="290"/>
      <x:c r="F668" s="400"/>
      <x:c r="I668" s="392"/>
      <x:c r="J668" t="str">
        <x:f>IF($B668="","",IF(COUNTIF(Account_Map!$A$6:$A$31,$B668)&gt;0,"Mapped","UNMAPPED"))</x:f>
      </x:c>
    </x:row>
    <x:row r="669">
      <x:c r="A669" s="290"/>
      <x:c r="F669" s="400"/>
      <x:c r="I669" s="392"/>
      <x:c r="J669" t="str">
        <x:f>IF($B669="","",IF(COUNTIF(Account_Map!$A$6:$A$31,$B669)&gt;0,"Mapped","UNMAPPED"))</x:f>
      </x:c>
    </x:row>
    <x:row r="670">
      <x:c r="A670" s="290"/>
      <x:c r="F670" s="400"/>
      <x:c r="I670" s="392"/>
      <x:c r="J670" t="str">
        <x:f>IF($B670="","",IF(COUNTIF(Account_Map!$A$6:$A$31,$B670)&gt;0,"Mapped","UNMAPPED"))</x:f>
      </x:c>
    </x:row>
    <x:row r="671">
      <x:c r="A671" s="290"/>
      <x:c r="F671" s="400"/>
      <x:c r="I671" s="392"/>
      <x:c r="J671" t="str">
        <x:f>IF($B671="","",IF(COUNTIF(Account_Map!$A$6:$A$31,$B671)&gt;0,"Mapped","UNMAPPED"))</x:f>
      </x:c>
    </x:row>
    <x:row r="672">
      <x:c r="A672" s="290"/>
      <x:c r="F672" s="400"/>
      <x:c r="I672" s="392"/>
      <x:c r="J672" t="str">
        <x:f>IF($B672="","",IF(COUNTIF(Account_Map!$A$6:$A$31,$B672)&gt;0,"Mapped","UNMAPPED"))</x:f>
      </x:c>
    </x:row>
    <x:row r="673">
      <x:c r="A673" s="290"/>
      <x:c r="F673" s="400"/>
      <x:c r="I673" s="392"/>
      <x:c r="J673" t="str">
        <x:f>IF($B673="","",IF(COUNTIF(Account_Map!$A$6:$A$31,$B673)&gt;0,"Mapped","UNMAPPED"))</x:f>
      </x:c>
    </x:row>
    <x:row r="674">
      <x:c r="A674" s="290"/>
      <x:c r="F674" s="400"/>
      <x:c r="I674" s="392"/>
      <x:c r="J674" t="str">
        <x:f>IF($B674="","",IF(COUNTIF(Account_Map!$A$6:$A$31,$B674)&gt;0,"Mapped","UNMAPPED"))</x:f>
      </x:c>
    </x:row>
    <x:row r="675">
      <x:c r="A675" s="290"/>
      <x:c r="F675" s="400"/>
      <x:c r="I675" s="392"/>
      <x:c r="J675" t="str">
        <x:f>IF($B675="","",IF(COUNTIF(Account_Map!$A$6:$A$31,$B675)&gt;0,"Mapped","UNMAPPED"))</x:f>
      </x:c>
    </x:row>
    <x:row r="676">
      <x:c r="A676" s="290"/>
      <x:c r="F676" s="400"/>
      <x:c r="I676" s="392"/>
      <x:c r="J676" t="str">
        <x:f>IF($B676="","",IF(COUNTIF(Account_Map!$A$6:$A$31,$B676)&gt;0,"Mapped","UNMAPPED"))</x:f>
      </x:c>
    </x:row>
    <x:row r="677">
      <x:c r="A677" s="290"/>
      <x:c r="F677" s="400"/>
      <x:c r="I677" s="392"/>
      <x:c r="J677" t="str">
        <x:f>IF($B677="","",IF(COUNTIF(Account_Map!$A$6:$A$31,$B677)&gt;0,"Mapped","UNMAPPED"))</x:f>
      </x:c>
    </x:row>
    <x:row r="678">
      <x:c r="A678" s="290"/>
      <x:c r="F678" s="400"/>
      <x:c r="I678" s="392"/>
      <x:c r="J678" t="str">
        <x:f>IF($B678="","",IF(COUNTIF(Account_Map!$A$6:$A$31,$B678)&gt;0,"Mapped","UNMAPPED"))</x:f>
      </x:c>
    </x:row>
    <x:row r="679">
      <x:c r="A679" s="290"/>
      <x:c r="F679" s="400"/>
      <x:c r="I679" s="392"/>
      <x:c r="J679" t="str">
        <x:f>IF($B679="","",IF(COUNTIF(Account_Map!$A$6:$A$31,$B679)&gt;0,"Mapped","UNMAPPED"))</x:f>
      </x:c>
    </x:row>
    <x:row r="680">
      <x:c r="A680" s="290"/>
      <x:c r="F680" s="400"/>
      <x:c r="I680" s="392"/>
      <x:c r="J680" t="str">
        <x:f>IF($B680="","",IF(COUNTIF(Account_Map!$A$6:$A$31,$B680)&gt;0,"Mapped","UNMAPPED"))</x:f>
      </x:c>
    </x:row>
    <x:row r="681">
      <x:c r="A681" s="290"/>
      <x:c r="F681" s="400"/>
      <x:c r="I681" s="392"/>
      <x:c r="J681" t="str">
        <x:f>IF($B681="","",IF(COUNTIF(Account_Map!$A$6:$A$31,$B681)&gt;0,"Mapped","UNMAPPED"))</x:f>
      </x:c>
    </x:row>
    <x:row r="682">
      <x:c r="A682" s="290"/>
      <x:c r="F682" s="400"/>
      <x:c r="I682" s="392"/>
      <x:c r="J682" t="str">
        <x:f>IF($B682="","",IF(COUNTIF(Account_Map!$A$6:$A$31,$B682)&gt;0,"Mapped","UNMAPPED"))</x:f>
      </x:c>
    </x:row>
    <x:row r="683">
      <x:c r="A683" s="290"/>
      <x:c r="F683" s="400"/>
      <x:c r="I683" s="392"/>
      <x:c r="J683" t="str">
        <x:f>IF($B683="","",IF(COUNTIF(Account_Map!$A$6:$A$31,$B683)&gt;0,"Mapped","UNMAPPED"))</x:f>
      </x:c>
    </x:row>
    <x:row r="684">
      <x:c r="A684" s="290"/>
      <x:c r="F684" s="400"/>
      <x:c r="I684" s="392"/>
      <x:c r="J684" t="str">
        <x:f>IF($B684="","",IF(COUNTIF(Account_Map!$A$6:$A$31,$B684)&gt;0,"Mapped","UNMAPPED"))</x:f>
      </x:c>
    </x:row>
    <x:row r="685">
      <x:c r="A685" s="290"/>
      <x:c r="F685" s="400"/>
      <x:c r="I685" s="392"/>
      <x:c r="J685" t="str">
        <x:f>IF($B685="","",IF(COUNTIF(Account_Map!$A$6:$A$31,$B685)&gt;0,"Mapped","UNMAPPED"))</x:f>
      </x:c>
    </x:row>
    <x:row r="686">
      <x:c r="A686" s="290"/>
      <x:c r="F686" s="400"/>
      <x:c r="I686" s="392"/>
      <x:c r="J686" t="str">
        <x:f>IF($B686="","",IF(COUNTIF(Account_Map!$A$6:$A$31,$B686)&gt;0,"Mapped","UNMAPPED"))</x:f>
      </x:c>
    </x:row>
    <x:row r="687">
      <x:c r="A687" s="290"/>
      <x:c r="F687" s="400"/>
      <x:c r="I687" s="392"/>
      <x:c r="J687" t="str">
        <x:f>IF($B687="","",IF(COUNTIF(Account_Map!$A$6:$A$31,$B687)&gt;0,"Mapped","UNMAPPED"))</x:f>
      </x:c>
    </x:row>
    <x:row r="688">
      <x:c r="A688" s="290"/>
      <x:c r="F688" s="400"/>
      <x:c r="I688" s="392"/>
      <x:c r="J688" t="str">
        <x:f>IF($B688="","",IF(COUNTIF(Account_Map!$A$6:$A$31,$B688)&gt;0,"Mapped","UNMAPPED"))</x:f>
      </x:c>
    </x:row>
    <x:row r="689">
      <x:c r="A689" s="290"/>
      <x:c r="F689" s="400"/>
      <x:c r="I689" s="392"/>
      <x:c r="J689" t="str">
        <x:f>IF($B689="","",IF(COUNTIF(Account_Map!$A$6:$A$31,$B689)&gt;0,"Mapped","UNMAPPED"))</x:f>
      </x:c>
    </x:row>
    <x:row r="690">
      <x:c r="A690" s="290"/>
      <x:c r="F690" s="400"/>
      <x:c r="I690" s="392"/>
      <x:c r="J690" t="str">
        <x:f>IF($B690="","",IF(COUNTIF(Account_Map!$A$6:$A$31,$B690)&gt;0,"Mapped","UNMAPPED"))</x:f>
      </x:c>
    </x:row>
    <x:row r="691">
      <x:c r="A691" s="290"/>
      <x:c r="F691" s="400"/>
      <x:c r="I691" s="392"/>
      <x:c r="J691" t="str">
        <x:f>IF($B691="","",IF(COUNTIF(Account_Map!$A$6:$A$31,$B691)&gt;0,"Mapped","UNMAPPED"))</x:f>
      </x:c>
    </x:row>
    <x:row r="692">
      <x:c r="A692" s="290"/>
      <x:c r="F692" s="400"/>
      <x:c r="I692" s="392"/>
      <x:c r="J692" t="str">
        <x:f>IF($B692="","",IF(COUNTIF(Account_Map!$A$6:$A$31,$B692)&gt;0,"Mapped","UNMAPPED"))</x:f>
      </x:c>
    </x:row>
    <x:row r="693">
      <x:c r="A693" s="290"/>
      <x:c r="F693" s="400"/>
      <x:c r="I693" s="392"/>
      <x:c r="J693" t="str">
        <x:f>IF($B693="","",IF(COUNTIF(Account_Map!$A$6:$A$31,$B693)&gt;0,"Mapped","UNMAPPED"))</x:f>
      </x:c>
    </x:row>
    <x:row r="694">
      <x:c r="A694" s="290"/>
      <x:c r="F694" s="400"/>
      <x:c r="I694" s="392"/>
      <x:c r="J694" t="str">
        <x:f>IF($B694="","",IF(COUNTIF(Account_Map!$A$6:$A$31,$B694)&gt;0,"Mapped","UNMAPPED"))</x:f>
      </x:c>
    </x:row>
    <x:row r="695">
      <x:c r="A695" s="290"/>
      <x:c r="F695" s="400"/>
      <x:c r="I695" s="392"/>
      <x:c r="J695" t="str">
        <x:f>IF($B695="","",IF(COUNTIF(Account_Map!$A$6:$A$31,$B695)&gt;0,"Mapped","UNMAPPED"))</x:f>
      </x:c>
    </x:row>
    <x:row r="696">
      <x:c r="A696" s="290"/>
      <x:c r="F696" s="400"/>
      <x:c r="I696" s="392"/>
      <x:c r="J696" t="str">
        <x:f>IF($B696="","",IF(COUNTIF(Account_Map!$A$6:$A$31,$B696)&gt;0,"Mapped","UNMAPPED"))</x:f>
      </x:c>
    </x:row>
    <x:row r="697">
      <x:c r="A697" s="290"/>
      <x:c r="F697" s="400"/>
      <x:c r="I697" s="392"/>
      <x:c r="J697" t="str">
        <x:f>IF($B697="","",IF(COUNTIF(Account_Map!$A$6:$A$31,$B697)&gt;0,"Mapped","UNMAPPED"))</x:f>
      </x:c>
    </x:row>
    <x:row r="698">
      <x:c r="A698" s="290"/>
      <x:c r="F698" s="400"/>
      <x:c r="I698" s="392"/>
      <x:c r="J698" t="str">
        <x:f>IF($B698="","",IF(COUNTIF(Account_Map!$A$6:$A$31,$B698)&gt;0,"Mapped","UNMAPPED"))</x:f>
      </x:c>
    </x:row>
    <x:row r="699">
      <x:c r="A699" s="290"/>
      <x:c r="F699" s="400"/>
      <x:c r="I699" s="392"/>
      <x:c r="J699" t="str">
        <x:f>IF($B699="","",IF(COUNTIF(Account_Map!$A$6:$A$31,$B699)&gt;0,"Mapped","UNMAPPED"))</x:f>
      </x:c>
    </x:row>
    <x:row r="700">
      <x:c r="A700" s="290"/>
      <x:c r="F700" s="400"/>
      <x:c r="I700" s="392"/>
      <x:c r="J700" t="str">
        <x:f>IF($B700="","",IF(COUNTIF(Account_Map!$A$6:$A$31,$B700)&gt;0,"Mapped","UNMAPPED"))</x:f>
      </x:c>
    </x:row>
    <x:row r="701">
      <x:c r="A701" s="290"/>
      <x:c r="F701" s="400"/>
      <x:c r="I701" s="392"/>
      <x:c r="J701" t="str">
        <x:f>IF($B701="","",IF(COUNTIF(Account_Map!$A$6:$A$31,$B701)&gt;0,"Mapped","UNMAPPED"))</x:f>
      </x:c>
    </x:row>
    <x:row r="702">
      <x:c r="A702" s="290"/>
      <x:c r="F702" s="400"/>
      <x:c r="I702" s="392"/>
      <x:c r="J702" t="str">
        <x:f>IF($B702="","",IF(COUNTIF(Account_Map!$A$6:$A$31,$B702)&gt;0,"Mapped","UNMAPPED"))</x:f>
      </x:c>
    </x:row>
    <x:row r="703">
      <x:c r="A703" s="290"/>
      <x:c r="F703" s="400"/>
      <x:c r="I703" s="392"/>
      <x:c r="J703" t="str">
        <x:f>IF($B703="","",IF(COUNTIF(Account_Map!$A$6:$A$31,$B703)&gt;0,"Mapped","UNMAPPED"))</x:f>
      </x:c>
    </x:row>
    <x:row r="704">
      <x:c r="A704" s="290"/>
      <x:c r="F704" s="400"/>
      <x:c r="I704" s="392"/>
      <x:c r="J704" t="str">
        <x:f>IF($B704="","",IF(COUNTIF(Account_Map!$A$6:$A$31,$B704)&gt;0,"Mapped","UNMAPPED"))</x:f>
      </x:c>
    </x:row>
    <x:row r="705">
      <x:c r="A705" s="290"/>
      <x:c r="F705" s="400"/>
      <x:c r="I705" s="392"/>
      <x:c r="J705" t="str">
        <x:f>IF($B705="","",IF(COUNTIF(Account_Map!$A$6:$A$31,$B705)&gt;0,"Mapped","UNMAPPED"))</x:f>
      </x:c>
    </x:row>
    <x:row r="706">
      <x:c r="A706" s="290"/>
      <x:c r="F706" s="400"/>
      <x:c r="I706" s="392"/>
      <x:c r="J706" t="str">
        <x:f>IF($B706="","",IF(COUNTIF(Account_Map!$A$6:$A$31,$B706)&gt;0,"Mapped","UNMAPPED"))</x:f>
      </x:c>
    </x:row>
    <x:row r="707">
      <x:c r="A707" s="290"/>
      <x:c r="F707" s="400"/>
      <x:c r="I707" s="392"/>
      <x:c r="J707" t="str">
        <x:f>IF($B707="","",IF(COUNTIF(Account_Map!$A$6:$A$31,$B707)&gt;0,"Mapped","UNMAPPED"))</x:f>
      </x:c>
    </x:row>
    <x:row r="708">
      <x:c r="A708" s="290"/>
      <x:c r="F708" s="400"/>
      <x:c r="I708" s="392"/>
      <x:c r="J708" t="str">
        <x:f>IF($B708="","",IF(COUNTIF(Account_Map!$A$6:$A$31,$B708)&gt;0,"Mapped","UNMAPPED"))</x:f>
      </x:c>
    </x:row>
    <x:row r="709">
      <x:c r="A709" s="290"/>
      <x:c r="F709" s="400"/>
      <x:c r="I709" s="392"/>
      <x:c r="J709" t="str">
        <x:f>IF($B709="","",IF(COUNTIF(Account_Map!$A$6:$A$31,$B709)&gt;0,"Mapped","UNMAPPED"))</x:f>
      </x:c>
    </x:row>
    <x:row r="710">
      <x:c r="A710" s="290"/>
      <x:c r="F710" s="400"/>
      <x:c r="I710" s="392"/>
      <x:c r="J710" t="str">
        <x:f>IF($B710="","",IF(COUNTIF(Account_Map!$A$6:$A$31,$B710)&gt;0,"Mapped","UNMAPPED"))</x:f>
      </x:c>
    </x:row>
    <x:row r="711">
      <x:c r="A711" s="290"/>
      <x:c r="F711" s="400"/>
      <x:c r="I711" s="392"/>
      <x:c r="J711" t="str">
        <x:f>IF($B711="","",IF(COUNTIF(Account_Map!$A$6:$A$31,$B711)&gt;0,"Mapped","UNMAPPED"))</x:f>
      </x:c>
    </x:row>
    <x:row r="712">
      <x:c r="A712" s="290"/>
      <x:c r="F712" s="400"/>
      <x:c r="I712" s="392"/>
      <x:c r="J712" t="str">
        <x:f>IF($B712="","",IF(COUNTIF(Account_Map!$A$6:$A$31,$B712)&gt;0,"Mapped","UNMAPPED"))</x:f>
      </x:c>
    </x:row>
    <x:row r="713">
      <x:c r="A713" s="290"/>
      <x:c r="F713" s="400"/>
      <x:c r="I713" s="392"/>
      <x:c r="J713" t="str">
        <x:f>IF($B713="","",IF(COUNTIF(Account_Map!$A$6:$A$31,$B713)&gt;0,"Mapped","UNMAPPED"))</x:f>
      </x:c>
    </x:row>
    <x:row r="714">
      <x:c r="A714" s="290"/>
      <x:c r="F714" s="400"/>
      <x:c r="I714" s="392"/>
      <x:c r="J714" t="str">
        <x:f>IF($B714="","",IF(COUNTIF(Account_Map!$A$6:$A$31,$B714)&gt;0,"Mapped","UNMAPPED"))</x:f>
      </x:c>
    </x:row>
    <x:row r="715">
      <x:c r="A715" s="290"/>
      <x:c r="F715" s="400"/>
      <x:c r="I715" s="392"/>
      <x:c r="J715" t="str">
        <x:f>IF($B715="","",IF(COUNTIF(Account_Map!$A$6:$A$31,$B715)&gt;0,"Mapped","UNMAPPED"))</x:f>
      </x:c>
    </x:row>
    <x:row r="716">
      <x:c r="A716" s="290"/>
      <x:c r="F716" s="400"/>
      <x:c r="I716" s="392"/>
      <x:c r="J716" t="str">
        <x:f>IF($B716="","",IF(COUNTIF(Account_Map!$A$6:$A$31,$B716)&gt;0,"Mapped","UNMAPPED"))</x:f>
      </x:c>
    </x:row>
    <x:row r="717">
      <x:c r="A717" s="290"/>
      <x:c r="F717" s="400"/>
      <x:c r="I717" s="392"/>
      <x:c r="J717" t="str">
        <x:f>IF($B717="","",IF(COUNTIF(Account_Map!$A$6:$A$31,$B717)&gt;0,"Mapped","UNMAPPED"))</x:f>
      </x:c>
    </x:row>
    <x:row r="718">
      <x:c r="A718" s="290"/>
      <x:c r="F718" s="400"/>
      <x:c r="I718" s="392"/>
      <x:c r="J718" t="str">
        <x:f>IF($B718="","",IF(COUNTIF(Account_Map!$A$6:$A$31,$B718)&gt;0,"Mapped","UNMAPPED"))</x:f>
      </x:c>
    </x:row>
    <x:row r="719">
      <x:c r="A719" s="290"/>
      <x:c r="F719" s="400"/>
      <x:c r="I719" s="392"/>
      <x:c r="J719" t="str">
        <x:f>IF($B719="","",IF(COUNTIF(Account_Map!$A$6:$A$31,$B719)&gt;0,"Mapped","UNMAPPED"))</x:f>
      </x:c>
    </x:row>
    <x:row r="720">
      <x:c r="A720" s="290"/>
      <x:c r="F720" s="400"/>
      <x:c r="I720" s="392"/>
      <x:c r="J720" t="str">
        <x:f>IF($B720="","",IF(COUNTIF(Account_Map!$A$6:$A$31,$B720)&gt;0,"Mapped","UNMAPPED"))</x:f>
      </x:c>
    </x:row>
    <x:row r="721">
      <x:c r="A721" s="290"/>
      <x:c r="F721" s="400"/>
      <x:c r="I721" s="392"/>
      <x:c r="J721" t="str">
        <x:f>IF($B721="","",IF(COUNTIF(Account_Map!$A$6:$A$31,$B721)&gt;0,"Mapped","UNMAPPED"))</x:f>
      </x:c>
    </x:row>
    <x:row r="722">
      <x:c r="A722" s="290"/>
      <x:c r="F722" s="400"/>
      <x:c r="I722" s="392"/>
      <x:c r="J722" t="str">
        <x:f>IF($B722="","",IF(COUNTIF(Account_Map!$A$6:$A$31,$B722)&gt;0,"Mapped","UNMAPPED"))</x:f>
      </x:c>
    </x:row>
    <x:row r="723">
      <x:c r="A723" s="290"/>
      <x:c r="F723" s="400"/>
      <x:c r="I723" s="392"/>
      <x:c r="J723" t="str">
        <x:f>IF($B723="","",IF(COUNTIF(Account_Map!$A$6:$A$31,$B723)&gt;0,"Mapped","UNMAPPED"))</x:f>
      </x:c>
    </x:row>
    <x:row r="724">
      <x:c r="A724" s="290"/>
      <x:c r="F724" s="400"/>
      <x:c r="I724" s="392"/>
      <x:c r="J724" t="str">
        <x:f>IF($B724="","",IF(COUNTIF(Account_Map!$A$6:$A$31,$B724)&gt;0,"Mapped","UNMAPPED"))</x:f>
      </x:c>
    </x:row>
    <x:row r="725">
      <x:c r="A725" s="290"/>
      <x:c r="F725" s="400"/>
      <x:c r="I725" s="392"/>
      <x:c r="J725" t="str">
        <x:f>IF($B725="","",IF(COUNTIF(Account_Map!$A$6:$A$31,$B725)&gt;0,"Mapped","UNMAPPED"))</x:f>
      </x:c>
    </x:row>
    <x:row r="726">
      <x:c r="A726" s="290"/>
      <x:c r="F726" s="400"/>
      <x:c r="I726" s="392"/>
      <x:c r="J726" t="str">
        <x:f>IF($B726="","",IF(COUNTIF(Account_Map!$A$6:$A$31,$B726)&gt;0,"Mapped","UNMAPPED"))</x:f>
      </x:c>
    </x:row>
    <x:row r="727">
      <x:c r="A727" s="290"/>
      <x:c r="F727" s="400"/>
      <x:c r="I727" s="392"/>
      <x:c r="J727" t="str">
        <x:f>IF($B727="","",IF(COUNTIF(Account_Map!$A$6:$A$31,$B727)&gt;0,"Mapped","UNMAPPED"))</x:f>
      </x:c>
    </x:row>
    <x:row r="728">
      <x:c r="A728" s="290"/>
      <x:c r="F728" s="400"/>
      <x:c r="I728" s="392"/>
      <x:c r="J728" t="str">
        <x:f>IF($B728="","",IF(COUNTIF(Account_Map!$A$6:$A$31,$B728)&gt;0,"Mapped","UNMAPPED"))</x:f>
      </x:c>
    </x:row>
    <x:row r="729">
      <x:c r="A729" s="290"/>
      <x:c r="F729" s="400"/>
      <x:c r="I729" s="392"/>
      <x:c r="J729" t="str">
        <x:f>IF($B729="","",IF(COUNTIF(Account_Map!$A$6:$A$31,$B729)&gt;0,"Mapped","UNMAPPED"))</x:f>
      </x:c>
    </x:row>
    <x:row r="730">
      <x:c r="A730" s="290"/>
      <x:c r="F730" s="400"/>
      <x:c r="I730" s="392"/>
      <x:c r="J730" t="str">
        <x:f>IF($B730="","",IF(COUNTIF(Account_Map!$A$6:$A$31,$B730)&gt;0,"Mapped","UNMAPPED"))</x:f>
      </x:c>
    </x:row>
    <x:row r="731">
      <x:c r="A731" s="290"/>
      <x:c r="F731" s="400"/>
      <x:c r="I731" s="392"/>
      <x:c r="J731" t="str">
        <x:f>IF($B731="","",IF(COUNTIF(Account_Map!$A$6:$A$31,$B731)&gt;0,"Mapped","UNMAPPED"))</x:f>
      </x:c>
    </x:row>
    <x:row r="732">
      <x:c r="A732" s="290"/>
      <x:c r="F732" s="400"/>
      <x:c r="I732" s="392"/>
      <x:c r="J732" t="str">
        <x:f>IF($B732="","",IF(COUNTIF(Account_Map!$A$6:$A$31,$B732)&gt;0,"Mapped","UNMAPPED"))</x:f>
      </x:c>
    </x:row>
    <x:row r="733">
      <x:c r="A733" s="290"/>
      <x:c r="F733" s="400"/>
      <x:c r="I733" s="392"/>
      <x:c r="J733" t="str">
        <x:f>IF($B733="","",IF(COUNTIF(Account_Map!$A$6:$A$31,$B733)&gt;0,"Mapped","UNMAPPED"))</x:f>
      </x:c>
    </x:row>
    <x:row r="734">
      <x:c r="A734" s="290"/>
      <x:c r="F734" s="400"/>
      <x:c r="I734" s="392"/>
      <x:c r="J734" t="str">
        <x:f>IF($B734="","",IF(COUNTIF(Account_Map!$A$6:$A$31,$B734)&gt;0,"Mapped","UNMAPPED"))</x:f>
      </x:c>
    </x:row>
    <x:row r="735">
      <x:c r="A735" s="290"/>
      <x:c r="F735" s="400"/>
      <x:c r="I735" s="392"/>
      <x:c r="J735" t="str">
        <x:f>IF($B735="","",IF(COUNTIF(Account_Map!$A$6:$A$31,$B735)&gt;0,"Mapped","UNMAPPED"))</x:f>
      </x:c>
    </x:row>
    <x:row r="736">
      <x:c r="A736" s="290"/>
      <x:c r="F736" s="400"/>
      <x:c r="I736" s="392"/>
      <x:c r="J736" t="str">
        <x:f>IF($B736="","",IF(COUNTIF(Account_Map!$A$6:$A$31,$B736)&gt;0,"Mapped","UNMAPPED"))</x:f>
      </x:c>
    </x:row>
    <x:row r="737">
      <x:c r="A737" s="290"/>
      <x:c r="F737" s="400"/>
      <x:c r="I737" s="392"/>
      <x:c r="J737" t="str">
        <x:f>IF($B737="","",IF(COUNTIF(Account_Map!$A$6:$A$31,$B737)&gt;0,"Mapped","UNMAPPED"))</x:f>
      </x:c>
    </x:row>
    <x:row r="738">
      <x:c r="A738" s="290"/>
      <x:c r="F738" s="400"/>
      <x:c r="I738" s="392"/>
      <x:c r="J738" t="str">
        <x:f>IF($B738="","",IF(COUNTIF(Account_Map!$A$6:$A$31,$B738)&gt;0,"Mapped","UNMAPPED"))</x:f>
      </x:c>
    </x:row>
    <x:row r="739">
      <x:c r="A739" s="290"/>
      <x:c r="F739" s="400"/>
      <x:c r="I739" s="392"/>
      <x:c r="J739" t="str">
        <x:f>IF($B739="","",IF(COUNTIF(Account_Map!$A$6:$A$31,$B739)&gt;0,"Mapped","UNMAPPED"))</x:f>
      </x:c>
    </x:row>
    <x:row r="740">
      <x:c r="A740" s="290"/>
      <x:c r="F740" s="400"/>
      <x:c r="I740" s="392"/>
      <x:c r="J740" t="str">
        <x:f>IF($B740="","",IF(COUNTIF(Account_Map!$A$6:$A$31,$B740)&gt;0,"Mapped","UNMAPPED"))</x:f>
      </x:c>
    </x:row>
    <x:row r="741">
      <x:c r="A741" s="290"/>
      <x:c r="F741" s="400"/>
      <x:c r="I741" s="392"/>
      <x:c r="J741" t="str">
        <x:f>IF($B741="","",IF(COUNTIF(Account_Map!$A$6:$A$31,$B741)&gt;0,"Mapped","UNMAPPED"))</x:f>
      </x:c>
    </x:row>
    <x:row r="742">
      <x:c r="A742" s="290"/>
      <x:c r="F742" s="400"/>
      <x:c r="I742" s="392"/>
      <x:c r="J742" t="str">
        <x:f>IF($B742="","",IF(COUNTIF(Account_Map!$A$6:$A$31,$B742)&gt;0,"Mapped","UNMAPPED"))</x:f>
      </x:c>
    </x:row>
    <x:row r="743">
      <x:c r="A743" s="290"/>
      <x:c r="F743" s="400"/>
      <x:c r="I743" s="392"/>
      <x:c r="J743" t="str">
        <x:f>IF($B743="","",IF(COUNTIF(Account_Map!$A$6:$A$31,$B743)&gt;0,"Mapped","UNMAPPED"))</x:f>
      </x:c>
    </x:row>
    <x:row r="744">
      <x:c r="A744" s="290"/>
      <x:c r="F744" s="400"/>
      <x:c r="I744" s="392"/>
      <x:c r="J744" t="str">
        <x:f>IF($B744="","",IF(COUNTIF(Account_Map!$A$6:$A$31,$B744)&gt;0,"Mapped","UNMAPPED"))</x:f>
      </x:c>
    </x:row>
    <x:row r="745">
      <x:c r="A745" s="290"/>
      <x:c r="F745" s="400"/>
      <x:c r="I745" s="392"/>
      <x:c r="J745" t="str">
        <x:f>IF($B745="","",IF(COUNTIF(Account_Map!$A$6:$A$31,$B745)&gt;0,"Mapped","UNMAPPED"))</x:f>
      </x:c>
    </x:row>
    <x:row r="746">
      <x:c r="A746" s="290"/>
      <x:c r="F746" s="400"/>
      <x:c r="I746" s="392"/>
      <x:c r="J746" t="str">
        <x:f>IF($B746="","",IF(COUNTIF(Account_Map!$A$6:$A$31,$B746)&gt;0,"Mapped","UNMAPPED"))</x:f>
      </x:c>
    </x:row>
    <x:row r="747">
      <x:c r="A747" s="290"/>
      <x:c r="F747" s="400"/>
      <x:c r="I747" s="392"/>
      <x:c r="J747" t="str">
        <x:f>IF($B747="","",IF(COUNTIF(Account_Map!$A$6:$A$31,$B747)&gt;0,"Mapped","UNMAPPED"))</x:f>
      </x:c>
    </x:row>
    <x:row r="748">
      <x:c r="A748" s="290"/>
      <x:c r="F748" s="400"/>
      <x:c r="I748" s="392"/>
      <x:c r="J748" t="str">
        <x:f>IF($B748="","",IF(COUNTIF(Account_Map!$A$6:$A$31,$B748)&gt;0,"Mapped","UNMAPPED"))</x:f>
      </x:c>
    </x:row>
    <x:row r="749">
      <x:c r="A749" s="290"/>
      <x:c r="F749" s="400"/>
      <x:c r="I749" s="392"/>
      <x:c r="J749" t="str">
        <x:f>IF($B749="","",IF(COUNTIF(Account_Map!$A$6:$A$31,$B749)&gt;0,"Mapped","UNMAPPED"))</x:f>
      </x:c>
    </x:row>
    <x:row r="750">
      <x:c r="A750" s="290"/>
      <x:c r="F750" s="400"/>
      <x:c r="I750" s="392"/>
      <x:c r="J750" t="str">
        <x:f>IF($B750="","",IF(COUNTIF(Account_Map!$A$6:$A$31,$B750)&gt;0,"Mapped","UNMAPPED"))</x:f>
      </x:c>
    </x:row>
    <x:row r="751">
      <x:c r="A751" s="290"/>
      <x:c r="F751" s="400"/>
      <x:c r="I751" s="392"/>
      <x:c r="J751" t="str">
        <x:f>IF($B751="","",IF(COUNTIF(Account_Map!$A$6:$A$31,$B751)&gt;0,"Mapped","UNMAPPED"))</x:f>
      </x:c>
    </x:row>
    <x:row r="752">
      <x:c r="A752" s="290"/>
      <x:c r="F752" s="400"/>
      <x:c r="I752" s="392"/>
      <x:c r="J752" t="str">
        <x:f>IF($B752="","",IF(COUNTIF(Account_Map!$A$6:$A$31,$B752)&gt;0,"Mapped","UNMAPPED"))</x:f>
      </x:c>
    </x:row>
    <x:row r="753">
      <x:c r="A753" s="290"/>
      <x:c r="F753" s="400"/>
      <x:c r="I753" s="392"/>
      <x:c r="J753" t="str">
        <x:f>IF($B753="","",IF(COUNTIF(Account_Map!$A$6:$A$31,$B753)&gt;0,"Mapped","UNMAPPED"))</x:f>
      </x:c>
    </x:row>
    <x:row r="754">
      <x:c r="A754" s="290"/>
      <x:c r="F754" s="400"/>
      <x:c r="I754" s="392"/>
      <x:c r="J754" t="str">
        <x:f>IF($B754="","",IF(COUNTIF(Account_Map!$A$6:$A$31,$B754)&gt;0,"Mapped","UNMAPPED"))</x:f>
      </x:c>
    </x:row>
    <x:row r="755">
      <x:c r="A755" s="290"/>
      <x:c r="F755" s="400"/>
      <x:c r="I755" s="392"/>
      <x:c r="J755" t="str">
        <x:f>IF($B755="","",IF(COUNTIF(Account_Map!$A$6:$A$31,$B755)&gt;0,"Mapped","UNMAPPED"))</x:f>
      </x:c>
    </x:row>
    <x:row r="756">
      <x:c r="A756" s="290"/>
      <x:c r="F756" s="400"/>
      <x:c r="I756" s="392"/>
      <x:c r="J756" t="str">
        <x:f>IF($B756="","",IF(COUNTIF(Account_Map!$A$6:$A$31,$B756)&gt;0,"Mapped","UNMAPPED"))</x:f>
      </x:c>
    </x:row>
    <x:row r="757">
      <x:c r="A757" s="290"/>
      <x:c r="F757" s="400"/>
      <x:c r="I757" s="392"/>
      <x:c r="J757" t="str">
        <x:f>IF($B757="","",IF(COUNTIF(Account_Map!$A$6:$A$31,$B757)&gt;0,"Mapped","UNMAPPED"))</x:f>
      </x:c>
    </x:row>
    <x:row r="758">
      <x:c r="A758" s="290"/>
      <x:c r="F758" s="400"/>
      <x:c r="I758" s="392"/>
      <x:c r="J758" t="str">
        <x:f>IF($B758="","",IF(COUNTIF(Account_Map!$A$6:$A$31,$B758)&gt;0,"Mapped","UNMAPPED"))</x:f>
      </x:c>
    </x:row>
    <x:row r="759">
      <x:c r="A759" s="290"/>
      <x:c r="F759" s="400"/>
      <x:c r="I759" s="392"/>
      <x:c r="J759" t="str">
        <x:f>IF($B759="","",IF(COUNTIF(Account_Map!$A$6:$A$31,$B759)&gt;0,"Mapped","UNMAPPED"))</x:f>
      </x:c>
    </x:row>
    <x:row r="760">
      <x:c r="A760" s="290"/>
      <x:c r="F760" s="400"/>
      <x:c r="I760" s="392"/>
      <x:c r="J760" t="str">
        <x:f>IF($B760="","",IF(COUNTIF(Account_Map!$A$6:$A$31,$B760)&gt;0,"Mapped","UNMAPPED"))</x:f>
      </x:c>
    </x:row>
    <x:row r="761">
      <x:c r="A761" s="290"/>
      <x:c r="F761" s="400"/>
      <x:c r="I761" s="392"/>
      <x:c r="J761" t="str">
        <x:f>IF($B761="","",IF(COUNTIF(Account_Map!$A$6:$A$31,$B761)&gt;0,"Mapped","UNMAPPED"))</x:f>
      </x:c>
    </x:row>
    <x:row r="762">
      <x:c r="A762" s="290"/>
      <x:c r="F762" s="400"/>
      <x:c r="I762" s="392"/>
      <x:c r="J762" t="str">
        <x:f>IF($B762="","",IF(COUNTIF(Account_Map!$A$6:$A$31,$B762)&gt;0,"Mapped","UNMAPPED"))</x:f>
      </x:c>
    </x:row>
    <x:row r="763">
      <x:c r="A763" s="290"/>
      <x:c r="F763" s="400"/>
      <x:c r="I763" s="392"/>
      <x:c r="J763" t="str">
        <x:f>IF($B763="","",IF(COUNTIF(Account_Map!$A$6:$A$31,$B763)&gt;0,"Mapped","UNMAPPED"))</x:f>
      </x:c>
    </x:row>
    <x:row r="764">
      <x:c r="A764" s="290"/>
      <x:c r="F764" s="400"/>
      <x:c r="I764" s="392"/>
      <x:c r="J764" t="str">
        <x:f>IF($B764="","",IF(COUNTIF(Account_Map!$A$6:$A$31,$B764)&gt;0,"Mapped","UNMAPPED"))</x:f>
      </x:c>
    </x:row>
    <x:row r="765">
      <x:c r="A765" s="290"/>
      <x:c r="F765" s="400"/>
      <x:c r="I765" s="392"/>
      <x:c r="J765" t="str">
        <x:f>IF($B765="","",IF(COUNTIF(Account_Map!$A$6:$A$31,$B765)&gt;0,"Mapped","UNMAPPED"))</x:f>
      </x:c>
    </x:row>
    <x:row r="766">
      <x:c r="A766" s="290"/>
      <x:c r="F766" s="400"/>
      <x:c r="I766" s="392"/>
      <x:c r="J766" t="str">
        <x:f>IF($B766="","",IF(COUNTIF(Account_Map!$A$6:$A$31,$B766)&gt;0,"Mapped","UNMAPPED"))</x:f>
      </x:c>
    </x:row>
    <x:row r="767">
      <x:c r="A767" s="290"/>
      <x:c r="F767" s="400"/>
      <x:c r="I767" s="392"/>
      <x:c r="J767" t="str">
        <x:f>IF($B767="","",IF(COUNTIF(Account_Map!$A$6:$A$31,$B767)&gt;0,"Mapped","UNMAPPED"))</x:f>
      </x:c>
    </x:row>
    <x:row r="768">
      <x:c r="A768" s="290"/>
      <x:c r="F768" s="400"/>
      <x:c r="I768" s="392"/>
      <x:c r="J768" t="str">
        <x:f>IF($B768="","",IF(COUNTIF(Account_Map!$A$6:$A$31,$B768)&gt;0,"Mapped","UNMAPPED"))</x:f>
      </x:c>
    </x:row>
    <x:row r="769">
      <x:c r="A769" s="290"/>
      <x:c r="F769" s="400"/>
      <x:c r="I769" s="392"/>
      <x:c r="J769" t="str">
        <x:f>IF($B769="","",IF(COUNTIF(Account_Map!$A$6:$A$31,$B769)&gt;0,"Mapped","UNMAPPED"))</x:f>
      </x:c>
    </x:row>
    <x:row r="770">
      <x:c r="A770" s="290"/>
      <x:c r="F770" s="400"/>
      <x:c r="I770" s="392"/>
      <x:c r="J770" t="str">
        <x:f>IF($B770="","",IF(COUNTIF(Account_Map!$A$6:$A$31,$B770)&gt;0,"Mapped","UNMAPPED"))</x:f>
      </x:c>
    </x:row>
    <x:row r="771">
      <x:c r="A771" s="290"/>
      <x:c r="F771" s="400"/>
      <x:c r="I771" s="392"/>
      <x:c r="J771" t="str">
        <x:f>IF($B771="","",IF(COUNTIF(Account_Map!$A$6:$A$31,$B771)&gt;0,"Mapped","UNMAPPED"))</x:f>
      </x:c>
    </x:row>
    <x:row r="772">
      <x:c r="A772" s="290"/>
      <x:c r="F772" s="400"/>
      <x:c r="I772" s="392"/>
      <x:c r="J772" t="str">
        <x:f>IF($B772="","",IF(COUNTIF(Account_Map!$A$6:$A$31,$B772)&gt;0,"Mapped","UNMAPPED"))</x:f>
      </x:c>
    </x:row>
    <x:row r="773">
      <x:c r="A773" s="290"/>
      <x:c r="F773" s="400"/>
      <x:c r="I773" s="392"/>
      <x:c r="J773" t="str">
        <x:f>IF($B773="","",IF(COUNTIF(Account_Map!$A$6:$A$31,$B773)&gt;0,"Mapped","UNMAPPED"))</x:f>
      </x:c>
    </x:row>
    <x:row r="774">
      <x:c r="A774" s="290"/>
      <x:c r="F774" s="400"/>
      <x:c r="I774" s="392"/>
      <x:c r="J774" t="str">
        <x:f>IF($B774="","",IF(COUNTIF(Account_Map!$A$6:$A$31,$B774)&gt;0,"Mapped","UNMAPPED"))</x:f>
      </x:c>
    </x:row>
    <x:row r="775">
      <x:c r="A775" s="290"/>
      <x:c r="F775" s="400"/>
      <x:c r="I775" s="392"/>
      <x:c r="J775" t="str">
        <x:f>IF($B775="","",IF(COUNTIF(Account_Map!$A$6:$A$31,$B775)&gt;0,"Mapped","UNMAPPED"))</x:f>
      </x:c>
    </x:row>
    <x:row r="776">
      <x:c r="A776" s="290"/>
      <x:c r="F776" s="400"/>
      <x:c r="I776" s="392"/>
      <x:c r="J776" t="str">
        <x:f>IF($B776="","",IF(COUNTIF(Account_Map!$A$6:$A$31,$B776)&gt;0,"Mapped","UNMAPPED"))</x:f>
      </x:c>
    </x:row>
    <x:row r="777">
      <x:c r="A777" s="290"/>
      <x:c r="F777" s="400"/>
      <x:c r="I777" s="392"/>
      <x:c r="J777" t="str">
        <x:f>IF($B777="","",IF(COUNTIF(Account_Map!$A$6:$A$31,$B777)&gt;0,"Mapped","UNMAPPED"))</x:f>
      </x:c>
    </x:row>
    <x:row r="778">
      <x:c r="A778" s="290"/>
      <x:c r="F778" s="400"/>
      <x:c r="I778" s="392"/>
      <x:c r="J778" t="str">
        <x:f>IF($B778="","",IF(COUNTIF(Account_Map!$A$6:$A$31,$B778)&gt;0,"Mapped","UNMAPPED"))</x:f>
      </x:c>
    </x:row>
    <x:row r="779">
      <x:c r="A779" s="290"/>
      <x:c r="F779" s="400"/>
      <x:c r="I779" s="392"/>
      <x:c r="J779" t="str">
        <x:f>IF($B779="","",IF(COUNTIF(Account_Map!$A$6:$A$31,$B779)&gt;0,"Mapped","UNMAPPED"))</x:f>
      </x:c>
    </x:row>
    <x:row r="780">
      <x:c r="A780" s="290"/>
      <x:c r="F780" s="400"/>
      <x:c r="I780" s="392"/>
      <x:c r="J780" t="str">
        <x:f>IF($B780="","",IF(COUNTIF(Account_Map!$A$6:$A$31,$B780)&gt;0,"Mapped","UNMAPPED"))</x:f>
      </x:c>
    </x:row>
    <x:row r="781">
      <x:c r="A781" s="290"/>
      <x:c r="F781" s="400"/>
      <x:c r="I781" s="392"/>
      <x:c r="J781" t="str">
        <x:f>IF($B781="","",IF(COUNTIF(Account_Map!$A$6:$A$31,$B781)&gt;0,"Mapped","UNMAPPED"))</x:f>
      </x:c>
    </x:row>
    <x:row r="782">
      <x:c r="A782" s="290"/>
      <x:c r="F782" s="400"/>
      <x:c r="I782" s="392"/>
      <x:c r="J782" t="str">
        <x:f>IF($B782="","",IF(COUNTIF(Account_Map!$A$6:$A$31,$B782)&gt;0,"Mapped","UNMAPPED"))</x:f>
      </x:c>
    </x:row>
    <x:row r="783">
      <x:c r="A783" s="290"/>
      <x:c r="F783" s="400"/>
      <x:c r="I783" s="392"/>
      <x:c r="J783" t="str">
        <x:f>IF($B783="","",IF(COUNTIF(Account_Map!$A$6:$A$31,$B783)&gt;0,"Mapped","UNMAPPED"))</x:f>
      </x:c>
    </x:row>
    <x:row r="784">
      <x:c r="A784" s="290"/>
      <x:c r="F784" s="400"/>
      <x:c r="I784" s="392"/>
      <x:c r="J784" t="str">
        <x:f>IF($B784="","",IF(COUNTIF(Account_Map!$A$6:$A$31,$B784)&gt;0,"Mapped","UNMAPPED"))</x:f>
      </x:c>
    </x:row>
    <x:row r="785">
      <x:c r="A785" s="290"/>
      <x:c r="F785" s="400"/>
      <x:c r="I785" s="392"/>
      <x:c r="J785" t="str">
        <x:f>IF($B785="","",IF(COUNTIF(Account_Map!$A$6:$A$31,$B785)&gt;0,"Mapped","UNMAPPED"))</x:f>
      </x:c>
    </x:row>
    <x:row r="786">
      <x:c r="A786" s="290"/>
      <x:c r="F786" s="400"/>
      <x:c r="I786" s="392"/>
      <x:c r="J786" t="str">
        <x:f>IF($B786="","",IF(COUNTIF(Account_Map!$A$6:$A$31,$B786)&gt;0,"Mapped","UNMAPPED"))</x:f>
      </x:c>
    </x:row>
    <x:row r="787">
      <x:c r="A787" s="290"/>
      <x:c r="F787" s="400"/>
      <x:c r="I787" s="392"/>
      <x:c r="J787" t="str">
        <x:f>IF($B787="","",IF(COUNTIF(Account_Map!$A$6:$A$31,$B787)&gt;0,"Mapped","UNMAPPED"))</x:f>
      </x:c>
    </x:row>
    <x:row r="788">
      <x:c r="A788" s="290"/>
      <x:c r="F788" s="400"/>
      <x:c r="I788" s="392"/>
      <x:c r="J788" t="str">
        <x:f>IF($B788="","",IF(COUNTIF(Account_Map!$A$6:$A$31,$B788)&gt;0,"Mapped","UNMAPPED"))</x:f>
      </x:c>
    </x:row>
    <x:row r="789">
      <x:c r="A789" s="290"/>
      <x:c r="F789" s="400"/>
      <x:c r="I789" s="392"/>
      <x:c r="J789" t="str">
        <x:f>IF($B789="","",IF(COUNTIF(Account_Map!$A$6:$A$31,$B789)&gt;0,"Mapped","UNMAPPED"))</x:f>
      </x:c>
    </x:row>
    <x:row r="790">
      <x:c r="A790" s="290"/>
      <x:c r="F790" s="400"/>
      <x:c r="I790" s="392"/>
      <x:c r="J790" t="str">
        <x:f>IF($B790="","",IF(COUNTIF(Account_Map!$A$6:$A$31,$B790)&gt;0,"Mapped","UNMAPPED"))</x:f>
      </x:c>
    </x:row>
    <x:row r="791">
      <x:c r="A791" s="290"/>
      <x:c r="F791" s="400"/>
      <x:c r="I791" s="392"/>
      <x:c r="J791" t="str">
        <x:f>IF($B791="","",IF(COUNTIF(Account_Map!$A$6:$A$31,$B791)&gt;0,"Mapped","UNMAPPED"))</x:f>
      </x:c>
    </x:row>
    <x:row r="792">
      <x:c r="A792" s="290"/>
      <x:c r="F792" s="400"/>
      <x:c r="I792" s="392"/>
      <x:c r="J792" t="str">
        <x:f>IF($B792="","",IF(COUNTIF(Account_Map!$A$6:$A$31,$B792)&gt;0,"Mapped","UNMAPPED"))</x:f>
      </x:c>
    </x:row>
    <x:row r="793">
      <x:c r="A793" s="290"/>
      <x:c r="F793" s="400"/>
      <x:c r="I793" s="392"/>
      <x:c r="J793" t="str">
        <x:f>IF($B793="","",IF(COUNTIF(Account_Map!$A$6:$A$31,$B793)&gt;0,"Mapped","UNMAPPED"))</x:f>
      </x:c>
    </x:row>
    <x:row r="794">
      <x:c r="A794" s="290"/>
      <x:c r="F794" s="400"/>
      <x:c r="I794" s="392"/>
      <x:c r="J794" t="str">
        <x:f>IF($B794="","",IF(COUNTIF(Account_Map!$A$6:$A$31,$B794)&gt;0,"Mapped","UNMAPPED"))</x:f>
      </x:c>
    </x:row>
    <x:row r="795">
      <x:c r="A795" s="290"/>
      <x:c r="F795" s="400"/>
      <x:c r="I795" s="392"/>
      <x:c r="J795" t="str">
        <x:f>IF($B795="","",IF(COUNTIF(Account_Map!$A$6:$A$31,$B795)&gt;0,"Mapped","UNMAPPED"))</x:f>
      </x:c>
    </x:row>
    <x:row r="796">
      <x:c r="A796" s="290"/>
      <x:c r="F796" s="400"/>
      <x:c r="I796" s="392"/>
      <x:c r="J796" t="str">
        <x:f>IF($B796="","",IF(COUNTIF(Account_Map!$A$6:$A$31,$B796)&gt;0,"Mapped","UNMAPPED"))</x:f>
      </x:c>
    </x:row>
    <x:row r="797">
      <x:c r="A797" s="290"/>
      <x:c r="F797" s="400"/>
      <x:c r="I797" s="392"/>
      <x:c r="J797" t="str">
        <x:f>IF($B797="","",IF(COUNTIF(Account_Map!$A$6:$A$31,$B797)&gt;0,"Mapped","UNMAPPED"))</x:f>
      </x:c>
    </x:row>
    <x:row r="798">
      <x:c r="A798" s="290"/>
      <x:c r="F798" s="400"/>
      <x:c r="I798" s="392"/>
      <x:c r="J798" t="str">
        <x:f>IF($B798="","",IF(COUNTIF(Account_Map!$A$6:$A$31,$B798)&gt;0,"Mapped","UNMAPPED"))</x:f>
      </x:c>
    </x:row>
    <x:row r="799">
      <x:c r="A799" s="290"/>
      <x:c r="F799" s="400"/>
      <x:c r="I799" s="392"/>
      <x:c r="J799" t="str">
        <x:f>IF($B799="","",IF(COUNTIF(Account_Map!$A$6:$A$31,$B799)&gt;0,"Mapped","UNMAPPED"))</x:f>
      </x:c>
    </x:row>
    <x:row r="800">
      <x:c r="A800" s="290"/>
      <x:c r="F800" s="400"/>
      <x:c r="I800" s="392"/>
      <x:c r="J800" t="str">
        <x:f>IF($B800="","",IF(COUNTIF(Account_Map!$A$6:$A$31,$B800)&gt;0,"Mapped","UNMAPPED"))</x:f>
      </x:c>
    </x:row>
    <x:row r="801">
      <x:c r="A801" s="290"/>
      <x:c r="F801" s="400"/>
      <x:c r="I801" s="392"/>
      <x:c r="J801" t="str">
        <x:f>IF($B801="","",IF(COUNTIF(Account_Map!$A$6:$A$31,$B801)&gt;0,"Mapped","UNMAPPED"))</x:f>
      </x:c>
    </x:row>
    <x:row r="802">
      <x:c r="A802" s="290"/>
      <x:c r="F802" s="400"/>
      <x:c r="I802" s="392"/>
      <x:c r="J802" t="str">
        <x:f>IF($B802="","",IF(COUNTIF(Account_Map!$A$6:$A$31,$B802)&gt;0,"Mapped","UNMAPPED"))</x:f>
      </x:c>
    </x:row>
    <x:row r="803">
      <x:c r="A803" s="290"/>
      <x:c r="F803" s="400"/>
      <x:c r="I803" s="392"/>
      <x:c r="J803" t="str">
        <x:f>IF($B803="","",IF(COUNTIF(Account_Map!$A$6:$A$31,$B803)&gt;0,"Mapped","UNMAPPED"))</x:f>
      </x:c>
    </x:row>
    <x:row r="804">
      <x:c r="A804" s="290"/>
      <x:c r="F804" s="400"/>
      <x:c r="I804" s="392"/>
      <x:c r="J804" t="str">
        <x:f>IF($B804="","",IF(COUNTIF(Account_Map!$A$6:$A$31,$B804)&gt;0,"Mapped","UNMAPPED"))</x:f>
      </x:c>
    </x:row>
    <x:row r="805">
      <x:c r="A805" s="290"/>
      <x:c r="F805" s="400"/>
      <x:c r="I805" s="392"/>
      <x:c r="J805" t="str">
        <x:f>IF($B805="","",IF(COUNTIF(Account_Map!$A$6:$A$31,$B805)&gt;0,"Mapped","UNMAPPED"))</x:f>
      </x:c>
    </x:row>
    <x:row r="806">
      <x:c r="A806" s="290"/>
      <x:c r="F806" s="400"/>
      <x:c r="I806" s="392"/>
      <x:c r="J806" t="str">
        <x:f>IF($B806="","",IF(COUNTIF(Account_Map!$A$6:$A$31,$B806)&gt;0,"Mapped","UNMAPPED"))</x:f>
      </x:c>
    </x:row>
    <x:row r="807">
      <x:c r="A807" s="290"/>
      <x:c r="F807" s="400"/>
      <x:c r="I807" s="392"/>
      <x:c r="J807" t="str">
        <x:f>IF($B807="","",IF(COUNTIF(Account_Map!$A$6:$A$31,$B807)&gt;0,"Mapped","UNMAPPED"))</x:f>
      </x:c>
    </x:row>
    <x:row r="808">
      <x:c r="A808" s="290"/>
      <x:c r="F808" s="400"/>
      <x:c r="I808" s="392"/>
      <x:c r="J808" t="str">
        <x:f>IF($B808="","",IF(COUNTIF(Account_Map!$A$6:$A$31,$B808)&gt;0,"Mapped","UNMAPPED"))</x:f>
      </x:c>
    </x:row>
    <x:row r="809">
      <x:c r="A809" s="290"/>
      <x:c r="F809" s="400"/>
      <x:c r="I809" s="392"/>
      <x:c r="J809" t="str">
        <x:f>IF($B809="","",IF(COUNTIF(Account_Map!$A$6:$A$31,$B809)&gt;0,"Mapped","UNMAPPED"))</x:f>
      </x:c>
    </x:row>
    <x:row r="810">
      <x:c r="A810" s="290"/>
      <x:c r="F810" s="400"/>
      <x:c r="I810" s="392"/>
      <x:c r="J810" t="str">
        <x:f>IF($B810="","",IF(COUNTIF(Account_Map!$A$6:$A$31,$B810)&gt;0,"Mapped","UNMAPPED"))</x:f>
      </x:c>
    </x:row>
    <x:row r="811">
      <x:c r="A811" s="290"/>
      <x:c r="F811" s="400"/>
      <x:c r="I811" s="392"/>
      <x:c r="J811" t="str">
        <x:f>IF($B811="","",IF(COUNTIF(Account_Map!$A$6:$A$31,$B811)&gt;0,"Mapped","UNMAPPED"))</x:f>
      </x:c>
    </x:row>
    <x:row r="812">
      <x:c r="A812" s="290"/>
      <x:c r="F812" s="400"/>
      <x:c r="I812" s="392"/>
      <x:c r="J812" t="str">
        <x:f>IF($B812="","",IF(COUNTIF(Account_Map!$A$6:$A$31,$B812)&gt;0,"Mapped","UNMAPPED"))</x:f>
      </x:c>
    </x:row>
    <x:row r="813">
      <x:c r="A813" s="290"/>
      <x:c r="F813" s="400"/>
      <x:c r="I813" s="392"/>
      <x:c r="J813" t="str">
        <x:f>IF($B813="","",IF(COUNTIF(Account_Map!$A$6:$A$31,$B813)&gt;0,"Mapped","UNMAPPED"))</x:f>
      </x:c>
    </x:row>
    <x:row r="814">
      <x:c r="A814" s="290"/>
      <x:c r="F814" s="400"/>
      <x:c r="I814" s="392"/>
      <x:c r="J814" t="str">
        <x:f>IF($B814="","",IF(COUNTIF(Account_Map!$A$6:$A$31,$B814)&gt;0,"Mapped","UNMAPPED"))</x:f>
      </x:c>
    </x:row>
    <x:row r="815">
      <x:c r="A815" s="290"/>
      <x:c r="F815" s="400"/>
      <x:c r="I815" s="392"/>
      <x:c r="J815" t="str">
        <x:f>IF($B815="","",IF(COUNTIF(Account_Map!$A$6:$A$31,$B815)&gt;0,"Mapped","UNMAPPED"))</x:f>
      </x:c>
    </x:row>
    <x:row r="816">
      <x:c r="A816" s="290"/>
      <x:c r="F816" s="400"/>
      <x:c r="I816" s="392"/>
      <x:c r="J816" t="str">
        <x:f>IF($B816="","",IF(COUNTIF(Account_Map!$A$6:$A$31,$B816)&gt;0,"Mapped","UNMAPPED"))</x:f>
      </x:c>
    </x:row>
    <x:row r="817">
      <x:c r="A817" s="290"/>
      <x:c r="F817" s="400"/>
      <x:c r="I817" s="392"/>
      <x:c r="J817" t="str">
        <x:f>IF($B817="","",IF(COUNTIF(Account_Map!$A$6:$A$31,$B817)&gt;0,"Mapped","UNMAPPED"))</x:f>
      </x:c>
    </x:row>
    <x:row r="818">
      <x:c r="A818" s="290"/>
      <x:c r="F818" s="400"/>
      <x:c r="I818" s="392"/>
      <x:c r="J818" t="str">
        <x:f>IF($B818="","",IF(COUNTIF(Account_Map!$A$6:$A$31,$B818)&gt;0,"Mapped","UNMAPPED"))</x:f>
      </x:c>
    </x:row>
    <x:row r="819">
      <x:c r="A819" s="290"/>
      <x:c r="F819" s="400"/>
      <x:c r="I819" s="392"/>
      <x:c r="J819" t="str">
        <x:f>IF($B819="","",IF(COUNTIF(Account_Map!$A$6:$A$31,$B819)&gt;0,"Mapped","UNMAPPED"))</x:f>
      </x:c>
    </x:row>
    <x:row r="820">
      <x:c r="A820" s="290"/>
      <x:c r="F820" s="400"/>
      <x:c r="I820" s="392"/>
      <x:c r="J820" t="str">
        <x:f>IF($B820="","",IF(COUNTIF(Account_Map!$A$6:$A$31,$B820)&gt;0,"Mapped","UNMAPPED"))</x:f>
      </x:c>
    </x:row>
    <x:row r="821">
      <x:c r="A821" s="290"/>
      <x:c r="F821" s="400"/>
      <x:c r="I821" s="392"/>
      <x:c r="J821" t="str">
        <x:f>IF($B821="","",IF(COUNTIF(Account_Map!$A$6:$A$31,$B821)&gt;0,"Mapped","UNMAPPED"))</x:f>
      </x:c>
    </x:row>
    <x:row r="822">
      <x:c r="A822" s="290"/>
      <x:c r="F822" s="400"/>
      <x:c r="I822" s="392"/>
      <x:c r="J822" t="str">
        <x:f>IF($B822="","",IF(COUNTIF(Account_Map!$A$6:$A$31,$B822)&gt;0,"Mapped","UNMAPPED"))</x:f>
      </x:c>
    </x:row>
    <x:row r="823">
      <x:c r="A823" s="290"/>
      <x:c r="F823" s="400"/>
      <x:c r="I823" s="392"/>
      <x:c r="J823" t="str">
        <x:f>IF($B823="","",IF(COUNTIF(Account_Map!$A$6:$A$31,$B823)&gt;0,"Mapped","UNMAPPED"))</x:f>
      </x:c>
    </x:row>
    <x:row r="824">
      <x:c r="A824" s="290"/>
      <x:c r="F824" s="400"/>
      <x:c r="I824" s="392"/>
      <x:c r="J824" t="str">
        <x:f>IF($B824="","",IF(COUNTIF(Account_Map!$A$6:$A$31,$B824)&gt;0,"Mapped","UNMAPPED"))</x:f>
      </x:c>
    </x:row>
    <x:row r="825">
      <x:c r="A825" s="290"/>
      <x:c r="F825" s="400"/>
      <x:c r="I825" s="392"/>
      <x:c r="J825" t="str">
        <x:f>IF($B825="","",IF(COUNTIF(Account_Map!$A$6:$A$31,$B825)&gt;0,"Mapped","UNMAPPED"))</x:f>
      </x:c>
    </x:row>
    <x:row r="826">
      <x:c r="A826" s="290"/>
      <x:c r="F826" s="400"/>
      <x:c r="I826" s="392"/>
      <x:c r="J826" t="str">
        <x:f>IF($B826="","",IF(COUNTIF(Account_Map!$A$6:$A$31,$B826)&gt;0,"Mapped","UNMAPPED"))</x:f>
      </x:c>
    </x:row>
    <x:row r="827">
      <x:c r="A827" s="290"/>
      <x:c r="F827" s="400"/>
      <x:c r="I827" s="392"/>
      <x:c r="J827" t="str">
        <x:f>IF($B827="","",IF(COUNTIF(Account_Map!$A$6:$A$31,$B827)&gt;0,"Mapped","UNMAPPED"))</x:f>
      </x:c>
    </x:row>
    <x:row r="828">
      <x:c r="A828" s="290"/>
      <x:c r="F828" s="400"/>
      <x:c r="I828" s="392"/>
      <x:c r="J828" t="str">
        <x:f>IF($B828="","",IF(COUNTIF(Account_Map!$A$6:$A$31,$B828)&gt;0,"Mapped","UNMAPPED"))</x:f>
      </x:c>
    </x:row>
    <x:row r="829">
      <x:c r="A829" s="290"/>
      <x:c r="F829" s="400"/>
      <x:c r="I829" s="392"/>
      <x:c r="J829" t="str">
        <x:f>IF($B829="","",IF(COUNTIF(Account_Map!$A$6:$A$31,$B829)&gt;0,"Mapped","UNMAPPED"))</x:f>
      </x:c>
    </x:row>
    <x:row r="830">
      <x:c r="A830" s="290"/>
      <x:c r="F830" s="400"/>
      <x:c r="I830" s="392"/>
      <x:c r="J830" t="str">
        <x:f>IF($B830="","",IF(COUNTIF(Account_Map!$A$6:$A$31,$B830)&gt;0,"Mapped","UNMAPPED"))</x:f>
      </x:c>
    </x:row>
    <x:row r="831">
      <x:c r="A831" s="290"/>
      <x:c r="F831" s="400"/>
      <x:c r="I831" s="392"/>
      <x:c r="J831" t="str">
        <x:f>IF($B831="","",IF(COUNTIF(Account_Map!$A$6:$A$31,$B831)&gt;0,"Mapped","UNMAPPED"))</x:f>
      </x:c>
    </x:row>
    <x:row r="832">
      <x:c r="A832" s="290"/>
      <x:c r="F832" s="400"/>
      <x:c r="I832" s="392"/>
      <x:c r="J832" t="str">
        <x:f>IF($B832="","",IF(COUNTIF(Account_Map!$A$6:$A$31,$B832)&gt;0,"Mapped","UNMAPPED"))</x:f>
      </x:c>
    </x:row>
    <x:row r="833">
      <x:c r="A833" s="290"/>
      <x:c r="F833" s="400"/>
      <x:c r="I833" s="392"/>
      <x:c r="J833" t="str">
        <x:f>IF($B833="","",IF(COUNTIF(Account_Map!$A$6:$A$31,$B833)&gt;0,"Mapped","UNMAPPED"))</x:f>
      </x:c>
    </x:row>
    <x:row r="834">
      <x:c r="A834" s="290"/>
      <x:c r="F834" s="400"/>
      <x:c r="I834" s="392"/>
      <x:c r="J834" t="str">
        <x:f>IF($B834="","",IF(COUNTIF(Account_Map!$A$6:$A$31,$B834)&gt;0,"Mapped","UNMAPPED"))</x:f>
      </x:c>
    </x:row>
    <x:row r="835">
      <x:c r="A835" s="290"/>
      <x:c r="F835" s="400"/>
      <x:c r="I835" s="392"/>
      <x:c r="J835" t="str">
        <x:f>IF($B835="","",IF(COUNTIF(Account_Map!$A$6:$A$31,$B835)&gt;0,"Mapped","UNMAPPED"))</x:f>
      </x:c>
    </x:row>
    <x:row r="836">
      <x:c r="A836" s="290"/>
      <x:c r="F836" s="400"/>
      <x:c r="I836" s="392"/>
      <x:c r="J836" t="str">
        <x:f>IF($B836="","",IF(COUNTIF(Account_Map!$A$6:$A$31,$B836)&gt;0,"Mapped","UNMAPPED"))</x:f>
      </x:c>
    </x:row>
    <x:row r="837">
      <x:c r="A837" s="290"/>
      <x:c r="F837" s="400"/>
      <x:c r="I837" s="392"/>
      <x:c r="J837" t="str">
        <x:f>IF($B837="","",IF(COUNTIF(Account_Map!$A$6:$A$31,$B837)&gt;0,"Mapped","UNMAPPED"))</x:f>
      </x:c>
    </x:row>
    <x:row r="838">
      <x:c r="A838" s="290"/>
      <x:c r="F838" s="400"/>
      <x:c r="I838" s="392"/>
      <x:c r="J838" t="str">
        <x:f>IF($B838="","",IF(COUNTIF(Account_Map!$A$6:$A$31,$B838)&gt;0,"Mapped","UNMAPPED"))</x:f>
      </x:c>
    </x:row>
    <x:row r="839">
      <x:c r="A839" s="290"/>
      <x:c r="F839" s="400"/>
      <x:c r="I839" s="392"/>
      <x:c r="J839" t="str">
        <x:f>IF($B839="","",IF(COUNTIF(Account_Map!$A$6:$A$31,$B839)&gt;0,"Mapped","UNMAPPED"))</x:f>
      </x:c>
    </x:row>
    <x:row r="840">
      <x:c r="A840" s="290"/>
      <x:c r="F840" s="400"/>
      <x:c r="I840" s="392"/>
      <x:c r="J840" t="str">
        <x:f>IF($B840="","",IF(COUNTIF(Account_Map!$A$6:$A$31,$B840)&gt;0,"Mapped","UNMAPPED"))</x:f>
      </x:c>
    </x:row>
    <x:row r="841">
      <x:c r="A841" s="290"/>
      <x:c r="F841" s="400"/>
      <x:c r="I841" s="392"/>
      <x:c r="J841" t="str">
        <x:f>IF($B841="","",IF(COUNTIF(Account_Map!$A$6:$A$31,$B841)&gt;0,"Mapped","UNMAPPED"))</x:f>
      </x:c>
    </x:row>
    <x:row r="842">
      <x:c r="A842" s="290"/>
      <x:c r="F842" s="400"/>
      <x:c r="I842" s="392"/>
      <x:c r="J842" t="str">
        <x:f>IF($B842="","",IF(COUNTIF(Account_Map!$A$6:$A$31,$B842)&gt;0,"Mapped","UNMAPPED"))</x:f>
      </x:c>
    </x:row>
    <x:row r="843">
      <x:c r="A843" s="290"/>
      <x:c r="F843" s="400"/>
      <x:c r="I843" s="392"/>
      <x:c r="J843" t="str">
        <x:f>IF($B843="","",IF(COUNTIF(Account_Map!$A$6:$A$31,$B843)&gt;0,"Mapped","UNMAPPED"))</x:f>
      </x:c>
    </x:row>
    <x:row r="844">
      <x:c r="A844" s="290"/>
      <x:c r="F844" s="400"/>
      <x:c r="I844" s="392"/>
      <x:c r="J844" t="str">
        <x:f>IF($B844="","",IF(COUNTIF(Account_Map!$A$6:$A$31,$B844)&gt;0,"Mapped","UNMAPPED"))</x:f>
      </x:c>
    </x:row>
    <x:row r="845">
      <x:c r="A845" s="290"/>
      <x:c r="F845" s="400"/>
      <x:c r="I845" s="392"/>
      <x:c r="J845" t="str">
        <x:f>IF($B845="","",IF(COUNTIF(Account_Map!$A$6:$A$31,$B845)&gt;0,"Mapped","UNMAPPED"))</x:f>
      </x:c>
    </x:row>
    <x:row r="846">
      <x:c r="A846" s="290"/>
      <x:c r="F846" s="400"/>
      <x:c r="I846" s="392"/>
      <x:c r="J846" t="str">
        <x:f>IF($B846="","",IF(COUNTIF(Account_Map!$A$6:$A$31,$B846)&gt;0,"Mapped","UNMAPPED"))</x:f>
      </x:c>
    </x:row>
    <x:row r="847">
      <x:c r="A847" s="290"/>
      <x:c r="F847" s="400"/>
      <x:c r="I847" s="392"/>
      <x:c r="J847" t="str">
        <x:f>IF($B847="","",IF(COUNTIF(Account_Map!$A$6:$A$31,$B847)&gt;0,"Mapped","UNMAPPED"))</x:f>
      </x:c>
    </x:row>
    <x:row r="848">
      <x:c r="A848" s="290"/>
      <x:c r="F848" s="400"/>
      <x:c r="I848" s="392"/>
      <x:c r="J848" t="str">
        <x:f>IF($B848="","",IF(COUNTIF(Account_Map!$A$6:$A$31,$B848)&gt;0,"Mapped","UNMAPPED"))</x:f>
      </x:c>
    </x:row>
    <x:row r="849">
      <x:c r="A849" s="290"/>
      <x:c r="F849" s="400"/>
      <x:c r="I849" s="392"/>
      <x:c r="J849" t="str">
        <x:f>IF($B849="","",IF(COUNTIF(Account_Map!$A$6:$A$31,$B849)&gt;0,"Mapped","UNMAPPED"))</x:f>
      </x:c>
    </x:row>
    <x:row r="850">
      <x:c r="A850" s="290"/>
      <x:c r="F850" s="400"/>
      <x:c r="I850" s="392"/>
      <x:c r="J850" t="str">
        <x:f>IF($B850="","",IF(COUNTIF(Account_Map!$A$6:$A$31,$B850)&gt;0,"Mapped","UNMAPPED"))</x:f>
      </x:c>
    </x:row>
    <x:row r="851">
      <x:c r="A851" s="290"/>
      <x:c r="F851" s="400"/>
      <x:c r="I851" s="392"/>
      <x:c r="J851" t="str">
        <x:f>IF($B851="","",IF(COUNTIF(Account_Map!$A$6:$A$31,$B851)&gt;0,"Mapped","UNMAPPED"))</x:f>
      </x:c>
    </x:row>
    <x:row r="852">
      <x:c r="A852" s="290"/>
      <x:c r="F852" s="400"/>
      <x:c r="I852" s="392"/>
      <x:c r="J852" t="str">
        <x:f>IF($B852="","",IF(COUNTIF(Account_Map!$A$6:$A$31,$B852)&gt;0,"Mapped","UNMAPPED"))</x:f>
      </x:c>
    </x:row>
    <x:row r="853">
      <x:c r="A853" s="290"/>
      <x:c r="F853" s="400"/>
      <x:c r="I853" s="392"/>
      <x:c r="J853" t="str">
        <x:f>IF($B853="","",IF(COUNTIF(Account_Map!$A$6:$A$31,$B853)&gt;0,"Mapped","UNMAPPED"))</x:f>
      </x:c>
    </x:row>
    <x:row r="854">
      <x:c r="A854" s="290"/>
      <x:c r="F854" s="400"/>
      <x:c r="I854" s="392"/>
      <x:c r="J854" t="str">
        <x:f>IF($B854="","",IF(COUNTIF(Account_Map!$A$6:$A$31,$B854)&gt;0,"Mapped","UNMAPPED"))</x:f>
      </x:c>
    </x:row>
    <x:row r="855">
      <x:c r="A855" s="290"/>
      <x:c r="F855" s="400"/>
      <x:c r="I855" s="392"/>
      <x:c r="J855" t="str">
        <x:f>IF($B855="","",IF(COUNTIF(Account_Map!$A$6:$A$31,$B855)&gt;0,"Mapped","UNMAPPED"))</x:f>
      </x:c>
    </x:row>
    <x:row r="856">
      <x:c r="A856" s="290"/>
      <x:c r="F856" s="400"/>
      <x:c r="I856" s="392"/>
      <x:c r="J856" t="str">
        <x:f>IF($B856="","",IF(COUNTIF(Account_Map!$A$6:$A$31,$B856)&gt;0,"Mapped","UNMAPPED"))</x:f>
      </x:c>
    </x:row>
    <x:row r="857">
      <x:c r="A857" s="290"/>
      <x:c r="F857" s="400"/>
      <x:c r="I857" s="392"/>
      <x:c r="J857" t="str">
        <x:f>IF($B857="","",IF(COUNTIF(Account_Map!$A$6:$A$31,$B857)&gt;0,"Mapped","UNMAPPED"))</x:f>
      </x:c>
    </x:row>
    <x:row r="858">
      <x:c r="A858" s="290"/>
      <x:c r="F858" s="400"/>
      <x:c r="I858" s="392"/>
      <x:c r="J858" t="str">
        <x:f>IF($B858="","",IF(COUNTIF(Account_Map!$A$6:$A$31,$B858)&gt;0,"Mapped","UNMAPPED"))</x:f>
      </x:c>
    </x:row>
    <x:row r="859">
      <x:c r="A859" s="290"/>
      <x:c r="F859" s="400"/>
      <x:c r="I859" s="392"/>
      <x:c r="J859" t="str">
        <x:f>IF($B859="","",IF(COUNTIF(Account_Map!$A$6:$A$31,$B859)&gt;0,"Mapped","UNMAPPED"))</x:f>
      </x:c>
    </x:row>
    <x:row r="860">
      <x:c r="A860" s="290"/>
      <x:c r="F860" s="400"/>
      <x:c r="I860" s="392"/>
      <x:c r="J860" t="str">
        <x:f>IF($B860="","",IF(COUNTIF(Account_Map!$A$6:$A$31,$B860)&gt;0,"Mapped","UNMAPPED"))</x:f>
      </x:c>
    </x:row>
    <x:row r="861">
      <x:c r="A861" s="290"/>
      <x:c r="F861" s="400"/>
      <x:c r="I861" s="392"/>
      <x:c r="J861" t="str">
        <x:f>IF($B861="","",IF(COUNTIF(Account_Map!$A$6:$A$31,$B861)&gt;0,"Mapped","UNMAPPED"))</x:f>
      </x:c>
    </x:row>
    <x:row r="862">
      <x:c r="A862" s="290"/>
      <x:c r="F862" s="400"/>
      <x:c r="I862" s="392"/>
      <x:c r="J862" t="str">
        <x:f>IF($B862="","",IF(COUNTIF(Account_Map!$A$6:$A$31,$B862)&gt;0,"Mapped","UNMAPPED"))</x:f>
      </x:c>
    </x:row>
    <x:row r="863">
      <x:c r="A863" s="290"/>
      <x:c r="F863" s="400"/>
      <x:c r="I863" s="392"/>
      <x:c r="J863" t="str">
        <x:f>IF($B863="","",IF(COUNTIF(Account_Map!$A$6:$A$31,$B863)&gt;0,"Mapped","UNMAPPED"))</x:f>
      </x:c>
    </x:row>
    <x:row r="864">
      <x:c r="A864" s="290"/>
      <x:c r="F864" s="400"/>
      <x:c r="I864" s="392"/>
      <x:c r="J864" t="str">
        <x:f>IF($B864="","",IF(COUNTIF(Account_Map!$A$6:$A$31,$B864)&gt;0,"Mapped","UNMAPPED"))</x:f>
      </x:c>
    </x:row>
    <x:row r="865">
      <x:c r="A865" s="290"/>
      <x:c r="F865" s="400"/>
      <x:c r="I865" s="392"/>
      <x:c r="J865" t="str">
        <x:f>IF($B865="","",IF(COUNTIF(Account_Map!$A$6:$A$31,$B865)&gt;0,"Mapped","UNMAPPED"))</x:f>
      </x:c>
    </x:row>
    <x:row r="866">
      <x:c r="A866" s="290"/>
      <x:c r="F866" s="400"/>
      <x:c r="I866" s="392"/>
      <x:c r="J866" t="str">
        <x:f>IF($B866="","",IF(COUNTIF(Account_Map!$A$6:$A$31,$B866)&gt;0,"Mapped","UNMAPPED"))</x:f>
      </x:c>
    </x:row>
    <x:row r="867">
      <x:c r="A867" s="290"/>
      <x:c r="F867" s="400"/>
      <x:c r="I867" s="392"/>
      <x:c r="J867" t="str">
        <x:f>IF($B867="","",IF(COUNTIF(Account_Map!$A$6:$A$31,$B867)&gt;0,"Mapped","UNMAPPED"))</x:f>
      </x:c>
    </x:row>
    <x:row r="868">
      <x:c r="A868" s="290"/>
      <x:c r="F868" s="400"/>
      <x:c r="I868" s="392"/>
      <x:c r="J868" t="str">
        <x:f>IF($B868="","",IF(COUNTIF(Account_Map!$A$6:$A$31,$B868)&gt;0,"Mapped","UNMAPPED"))</x:f>
      </x:c>
    </x:row>
    <x:row r="869">
      <x:c r="A869" s="290"/>
      <x:c r="F869" s="400"/>
      <x:c r="I869" s="392"/>
      <x:c r="J869" t="str">
        <x:f>IF($B869="","",IF(COUNTIF(Account_Map!$A$6:$A$31,$B869)&gt;0,"Mapped","UNMAPPED"))</x:f>
      </x:c>
    </x:row>
    <x:row r="870">
      <x:c r="A870" s="290"/>
      <x:c r="F870" s="400"/>
      <x:c r="I870" s="392"/>
      <x:c r="J870" t="str">
        <x:f>IF($B870="","",IF(COUNTIF(Account_Map!$A$6:$A$31,$B870)&gt;0,"Mapped","UNMAPPED"))</x:f>
      </x:c>
    </x:row>
    <x:row r="871">
      <x:c r="A871" s="290"/>
      <x:c r="F871" s="400"/>
      <x:c r="I871" s="392"/>
      <x:c r="J871" t="str">
        <x:f>IF($B871="","",IF(COUNTIF(Account_Map!$A$6:$A$31,$B871)&gt;0,"Mapped","UNMAPPED"))</x:f>
      </x:c>
    </x:row>
    <x:row r="872">
      <x:c r="A872" s="290"/>
      <x:c r="F872" s="400"/>
      <x:c r="I872" s="392"/>
      <x:c r="J872" t="str">
        <x:f>IF($B872="","",IF(COUNTIF(Account_Map!$A$6:$A$31,$B872)&gt;0,"Mapped","UNMAPPED"))</x:f>
      </x:c>
    </x:row>
    <x:row r="873">
      <x:c r="A873" s="290"/>
      <x:c r="F873" s="400"/>
      <x:c r="I873" s="392"/>
      <x:c r="J873" t="str">
        <x:f>IF($B873="","",IF(COUNTIF(Account_Map!$A$6:$A$31,$B873)&gt;0,"Mapped","UNMAPPED"))</x:f>
      </x:c>
    </x:row>
    <x:row r="874">
      <x:c r="A874" s="290"/>
      <x:c r="F874" s="400"/>
      <x:c r="I874" s="392"/>
      <x:c r="J874" t="str">
        <x:f>IF($B874="","",IF(COUNTIF(Account_Map!$A$6:$A$31,$B874)&gt;0,"Mapped","UNMAPPED"))</x:f>
      </x:c>
    </x:row>
    <x:row r="875">
      <x:c r="A875" s="290"/>
      <x:c r="F875" s="400"/>
      <x:c r="I875" s="392"/>
      <x:c r="J875" t="str">
        <x:f>IF($B875="","",IF(COUNTIF(Account_Map!$A$6:$A$31,$B875)&gt;0,"Mapped","UNMAPPED"))</x:f>
      </x:c>
    </x:row>
    <x:row r="876">
      <x:c r="A876" s="290"/>
      <x:c r="F876" s="400"/>
      <x:c r="I876" s="392"/>
      <x:c r="J876" t="str">
        <x:f>IF($B876="","",IF(COUNTIF(Account_Map!$A$6:$A$31,$B876)&gt;0,"Mapped","UNMAPPED"))</x:f>
      </x:c>
    </x:row>
    <x:row r="877">
      <x:c r="A877" s="290"/>
      <x:c r="F877" s="400"/>
      <x:c r="I877" s="392"/>
      <x:c r="J877" t="str">
        <x:f>IF($B877="","",IF(COUNTIF(Account_Map!$A$6:$A$31,$B877)&gt;0,"Mapped","UNMAPPED"))</x:f>
      </x:c>
    </x:row>
    <x:row r="878">
      <x:c r="A878" s="290"/>
      <x:c r="F878" s="400"/>
      <x:c r="I878" s="392"/>
      <x:c r="J878" t="str">
        <x:f>IF($B878="","",IF(COUNTIF(Account_Map!$A$6:$A$31,$B878)&gt;0,"Mapped","UNMAPPED"))</x:f>
      </x:c>
    </x:row>
    <x:row r="879">
      <x:c r="A879" s="290"/>
      <x:c r="F879" s="400"/>
      <x:c r="I879" s="392"/>
      <x:c r="J879" t="str">
        <x:f>IF($B879="","",IF(COUNTIF(Account_Map!$A$6:$A$31,$B879)&gt;0,"Mapped","UNMAPPED"))</x:f>
      </x:c>
    </x:row>
    <x:row r="880">
      <x:c r="A880" s="290"/>
      <x:c r="F880" s="400"/>
      <x:c r="I880" s="392"/>
      <x:c r="J880" t="str">
        <x:f>IF($B880="","",IF(COUNTIF(Account_Map!$A$6:$A$31,$B880)&gt;0,"Mapped","UNMAPPED"))</x:f>
      </x:c>
    </x:row>
    <x:row r="881">
      <x:c r="A881" s="290"/>
      <x:c r="F881" s="400"/>
      <x:c r="I881" s="392"/>
      <x:c r="J881" t="str">
        <x:f>IF($B881="","",IF(COUNTIF(Account_Map!$A$6:$A$31,$B881)&gt;0,"Mapped","UNMAPPED"))</x:f>
      </x:c>
    </x:row>
    <x:row r="882">
      <x:c r="A882" s="290"/>
      <x:c r="F882" s="400"/>
      <x:c r="I882" s="392"/>
      <x:c r="J882" t="str">
        <x:f>IF($B882="","",IF(COUNTIF(Account_Map!$A$6:$A$31,$B882)&gt;0,"Mapped","UNMAPPED"))</x:f>
      </x:c>
    </x:row>
    <x:row r="883">
      <x:c r="A883" s="290"/>
      <x:c r="F883" s="400"/>
      <x:c r="I883" s="392"/>
      <x:c r="J883" t="str">
        <x:f>IF($B883="","",IF(COUNTIF(Account_Map!$A$6:$A$31,$B883)&gt;0,"Mapped","UNMAPPED"))</x:f>
      </x:c>
    </x:row>
    <x:row r="884">
      <x:c r="A884" s="290"/>
      <x:c r="F884" s="400"/>
      <x:c r="I884" s="392"/>
      <x:c r="J884" t="str">
        <x:f>IF($B884="","",IF(COUNTIF(Account_Map!$A$6:$A$31,$B884)&gt;0,"Mapped","UNMAPPED"))</x:f>
      </x:c>
    </x:row>
    <x:row r="885">
      <x:c r="A885" s="290"/>
      <x:c r="F885" s="400"/>
      <x:c r="I885" s="392"/>
      <x:c r="J885" t="str">
        <x:f>IF($B885="","",IF(COUNTIF(Account_Map!$A$6:$A$31,$B885)&gt;0,"Mapped","UNMAPPED"))</x:f>
      </x:c>
    </x:row>
    <x:row r="886">
      <x:c r="A886" s="290"/>
      <x:c r="F886" s="400"/>
      <x:c r="I886" s="392"/>
      <x:c r="J886" t="str">
        <x:f>IF($B886="","",IF(COUNTIF(Account_Map!$A$6:$A$31,$B886)&gt;0,"Mapped","UNMAPPED"))</x:f>
      </x:c>
    </x:row>
    <x:row r="887">
      <x:c r="A887" s="290"/>
      <x:c r="F887" s="400"/>
      <x:c r="I887" s="392"/>
      <x:c r="J887" t="str">
        <x:f>IF($B887="","",IF(COUNTIF(Account_Map!$A$6:$A$31,$B887)&gt;0,"Mapped","UNMAPPED"))</x:f>
      </x:c>
    </x:row>
    <x:row r="888">
      <x:c r="A888" s="290"/>
      <x:c r="F888" s="400"/>
      <x:c r="I888" s="392"/>
      <x:c r="J888" t="str">
        <x:f>IF($B888="","",IF(COUNTIF(Account_Map!$A$6:$A$31,$B888)&gt;0,"Mapped","UNMAPPED"))</x:f>
      </x:c>
    </x:row>
    <x:row r="889">
      <x:c r="A889" s="290"/>
      <x:c r="F889" s="400"/>
      <x:c r="I889" s="392"/>
      <x:c r="J889" t="str">
        <x:f>IF($B889="","",IF(COUNTIF(Account_Map!$A$6:$A$31,$B889)&gt;0,"Mapped","UNMAPPED"))</x:f>
      </x:c>
    </x:row>
    <x:row r="890">
      <x:c r="A890" s="290"/>
      <x:c r="F890" s="400"/>
      <x:c r="I890" s="392"/>
      <x:c r="J890" t="str">
        <x:f>IF($B890="","",IF(COUNTIF(Account_Map!$A$6:$A$31,$B890)&gt;0,"Mapped","UNMAPPED"))</x:f>
      </x:c>
    </x:row>
    <x:row r="891">
      <x:c r="A891" s="290"/>
      <x:c r="F891" s="400"/>
      <x:c r="I891" s="392"/>
      <x:c r="J891" t="str">
        <x:f>IF($B891="","",IF(COUNTIF(Account_Map!$A$6:$A$31,$B891)&gt;0,"Mapped","UNMAPPED"))</x:f>
      </x:c>
    </x:row>
    <x:row r="892">
      <x:c r="A892" s="290"/>
      <x:c r="F892" s="400"/>
      <x:c r="I892" s="392"/>
      <x:c r="J892" t="str">
        <x:f>IF($B892="","",IF(COUNTIF(Account_Map!$A$6:$A$31,$B892)&gt;0,"Mapped","UNMAPPED"))</x:f>
      </x:c>
    </x:row>
    <x:row r="893">
      <x:c r="A893" s="290"/>
      <x:c r="F893" s="400"/>
      <x:c r="I893" s="392"/>
      <x:c r="J893" t="str">
        <x:f>IF($B893="","",IF(COUNTIF(Account_Map!$A$6:$A$31,$B893)&gt;0,"Mapped","UNMAPPED"))</x:f>
      </x:c>
    </x:row>
    <x:row r="894">
      <x:c r="A894" s="290"/>
      <x:c r="F894" s="400"/>
      <x:c r="I894" s="392"/>
      <x:c r="J894" t="str">
        <x:f>IF($B894="","",IF(COUNTIF(Account_Map!$A$6:$A$31,$B894)&gt;0,"Mapped","UNMAPPED"))</x:f>
      </x:c>
    </x:row>
    <x:row r="895">
      <x:c r="A895" s="290"/>
      <x:c r="F895" s="400"/>
      <x:c r="I895" s="392"/>
      <x:c r="J895" t="str">
        <x:f>IF($B895="","",IF(COUNTIF(Account_Map!$A$6:$A$31,$B895)&gt;0,"Mapped","UNMAPPED"))</x:f>
      </x:c>
    </x:row>
    <x:row r="896">
      <x:c r="A896" s="290"/>
      <x:c r="F896" s="400"/>
      <x:c r="I896" s="392"/>
      <x:c r="J896" t="str">
        <x:f>IF($B896="","",IF(COUNTIF(Account_Map!$A$6:$A$31,$B896)&gt;0,"Mapped","UNMAPPED"))</x:f>
      </x:c>
    </x:row>
    <x:row r="897">
      <x:c r="A897" s="290"/>
      <x:c r="F897" s="400"/>
      <x:c r="I897" s="392"/>
      <x:c r="J897" t="str">
        <x:f>IF($B897="","",IF(COUNTIF(Account_Map!$A$6:$A$31,$B897)&gt;0,"Mapped","UNMAPPED"))</x:f>
      </x:c>
    </x:row>
    <x:row r="898">
      <x:c r="A898" s="290"/>
      <x:c r="F898" s="400"/>
      <x:c r="I898" s="392"/>
      <x:c r="J898" t="str">
        <x:f>IF($B898="","",IF(COUNTIF(Account_Map!$A$6:$A$31,$B898)&gt;0,"Mapped","UNMAPPED"))</x:f>
      </x:c>
    </x:row>
    <x:row r="899">
      <x:c r="A899" s="290"/>
      <x:c r="F899" s="400"/>
      <x:c r="I899" s="392"/>
      <x:c r="J899" t="str">
        <x:f>IF($B899="","",IF(COUNTIF(Account_Map!$A$6:$A$31,$B899)&gt;0,"Mapped","UNMAPPED"))</x:f>
      </x:c>
    </x:row>
    <x:row r="900">
      <x:c r="A900" s="290"/>
      <x:c r="F900" s="400"/>
      <x:c r="I900" s="392"/>
      <x:c r="J900" t="str">
        <x:f>IF($B900="","",IF(COUNTIF(Account_Map!$A$6:$A$31,$B900)&gt;0,"Mapped","UNMAPPED"))</x:f>
      </x:c>
    </x:row>
    <x:row r="901">
      <x:c r="A901" s="290"/>
      <x:c r="F901" s="400"/>
      <x:c r="I901" s="392"/>
      <x:c r="J901" t="str">
        <x:f>IF($B901="","",IF(COUNTIF(Account_Map!$A$6:$A$31,$B901)&gt;0,"Mapped","UNMAPPED"))</x:f>
      </x:c>
    </x:row>
    <x:row r="902">
      <x:c r="A902" s="290"/>
      <x:c r="F902" s="400"/>
      <x:c r="I902" s="392"/>
      <x:c r="J902" t="str">
        <x:f>IF($B902="","",IF(COUNTIF(Account_Map!$A$6:$A$31,$B902)&gt;0,"Mapped","UNMAPPED"))</x:f>
      </x:c>
    </x:row>
    <x:row r="903">
      <x:c r="A903" s="290"/>
      <x:c r="F903" s="400"/>
      <x:c r="I903" s="392"/>
      <x:c r="J903" t="str">
        <x:f>IF($B903="","",IF(COUNTIF(Account_Map!$A$6:$A$31,$B903)&gt;0,"Mapped","UNMAPPED"))</x:f>
      </x:c>
    </x:row>
    <x:row r="904">
      <x:c r="A904" s="290"/>
      <x:c r="F904" s="400"/>
      <x:c r="I904" s="392"/>
      <x:c r="J904" t="str">
        <x:f>IF($B904="","",IF(COUNTIF(Account_Map!$A$6:$A$31,$B904)&gt;0,"Mapped","UNMAPPED"))</x:f>
      </x:c>
    </x:row>
    <x:row r="905">
      <x:c r="A905" s="290"/>
      <x:c r="F905" s="400"/>
      <x:c r="I905" s="392"/>
      <x:c r="J905" t="str">
        <x:f>IF($B905="","",IF(COUNTIF(Account_Map!$A$6:$A$31,$B905)&gt;0,"Mapped","UNMAPPED"))</x:f>
      </x:c>
    </x:row>
    <x:row r="906">
      <x:c r="A906" s="290"/>
      <x:c r="F906" s="400"/>
      <x:c r="I906" s="392"/>
      <x:c r="J906" t="str">
        <x:f>IF($B906="","",IF(COUNTIF(Account_Map!$A$6:$A$31,$B906)&gt;0,"Mapped","UNMAPPED"))</x:f>
      </x:c>
    </x:row>
    <x:row r="907">
      <x:c r="A907" s="290"/>
      <x:c r="F907" s="400"/>
      <x:c r="I907" s="392"/>
      <x:c r="J907" t="str">
        <x:f>IF($B907="","",IF(COUNTIF(Account_Map!$A$6:$A$31,$B907)&gt;0,"Mapped","UNMAPPED"))</x:f>
      </x:c>
    </x:row>
    <x:row r="908">
      <x:c r="A908" s="290"/>
      <x:c r="F908" s="400"/>
      <x:c r="I908" s="392"/>
      <x:c r="J908" t="str">
        <x:f>IF($B908="","",IF(COUNTIF(Account_Map!$A$6:$A$31,$B908)&gt;0,"Mapped","UNMAPPED"))</x:f>
      </x:c>
    </x:row>
    <x:row r="909">
      <x:c r="A909" s="290"/>
      <x:c r="F909" s="400"/>
      <x:c r="I909" s="392"/>
      <x:c r="J909" t="str">
        <x:f>IF($B909="","",IF(COUNTIF(Account_Map!$A$6:$A$31,$B909)&gt;0,"Mapped","UNMAPPED"))</x:f>
      </x:c>
    </x:row>
    <x:row r="910">
      <x:c r="A910" s="290"/>
      <x:c r="F910" s="400"/>
      <x:c r="I910" s="392"/>
      <x:c r="J910" t="str">
        <x:f>IF($B910="","",IF(COUNTIF(Account_Map!$A$6:$A$31,$B910)&gt;0,"Mapped","UNMAPPED"))</x:f>
      </x:c>
    </x:row>
    <x:row r="911">
      <x:c r="A911" s="290"/>
      <x:c r="F911" s="400"/>
      <x:c r="I911" s="392"/>
      <x:c r="J911" t="str">
        <x:f>IF($B911="","",IF(COUNTIF(Account_Map!$A$6:$A$31,$B911)&gt;0,"Mapped","UNMAPPED"))</x:f>
      </x:c>
    </x:row>
    <x:row r="912">
      <x:c r="A912" s="290"/>
      <x:c r="F912" s="400"/>
      <x:c r="I912" s="392"/>
      <x:c r="J912" t="str">
        <x:f>IF($B912="","",IF(COUNTIF(Account_Map!$A$6:$A$31,$B912)&gt;0,"Mapped","UNMAPPED"))</x:f>
      </x:c>
    </x:row>
    <x:row r="913">
      <x:c r="A913" s="290"/>
      <x:c r="F913" s="400"/>
      <x:c r="I913" s="392"/>
      <x:c r="J913" t="str">
        <x:f>IF($B913="","",IF(COUNTIF(Account_Map!$A$6:$A$31,$B913)&gt;0,"Mapped","UNMAPPED"))</x:f>
      </x:c>
    </x:row>
    <x:row r="914">
      <x:c r="A914" s="290"/>
      <x:c r="F914" s="400"/>
      <x:c r="I914" s="392"/>
      <x:c r="J914" t="str">
        <x:f>IF($B914="","",IF(COUNTIF(Account_Map!$A$6:$A$31,$B914)&gt;0,"Mapped","UNMAPPED"))</x:f>
      </x:c>
    </x:row>
    <x:row r="915">
      <x:c r="A915" s="290"/>
      <x:c r="F915" s="400"/>
      <x:c r="I915" s="392"/>
      <x:c r="J915" t="str">
        <x:f>IF($B915="","",IF(COUNTIF(Account_Map!$A$6:$A$31,$B915)&gt;0,"Mapped","UNMAPPED"))</x:f>
      </x:c>
    </x:row>
    <x:row r="916">
      <x:c r="A916" s="290"/>
      <x:c r="F916" s="400"/>
      <x:c r="I916" s="392"/>
      <x:c r="J916" t="str">
        <x:f>IF($B916="","",IF(COUNTIF(Account_Map!$A$6:$A$31,$B916)&gt;0,"Mapped","UNMAPPED"))</x:f>
      </x:c>
    </x:row>
    <x:row r="917">
      <x:c r="A917" s="290"/>
      <x:c r="F917" s="400"/>
      <x:c r="I917" s="392"/>
      <x:c r="J917" t="str">
        <x:f>IF($B917="","",IF(COUNTIF(Account_Map!$A$6:$A$31,$B917)&gt;0,"Mapped","UNMAPPED"))</x:f>
      </x:c>
    </x:row>
    <x:row r="918">
      <x:c r="A918" s="290"/>
      <x:c r="F918" s="400"/>
      <x:c r="I918" s="392"/>
      <x:c r="J918" t="str">
        <x:f>IF($B918="","",IF(COUNTIF(Account_Map!$A$6:$A$31,$B918)&gt;0,"Mapped","UNMAPPED"))</x:f>
      </x:c>
    </x:row>
    <x:row r="919">
      <x:c r="A919" s="290"/>
      <x:c r="F919" s="400"/>
      <x:c r="I919" s="392"/>
      <x:c r="J919" t="str">
        <x:f>IF($B919="","",IF(COUNTIF(Account_Map!$A$6:$A$31,$B919)&gt;0,"Mapped","UNMAPPED"))</x:f>
      </x:c>
    </x:row>
    <x:row r="920">
      <x:c r="A920" s="290"/>
      <x:c r="F920" s="400"/>
      <x:c r="I920" s="392"/>
      <x:c r="J920" t="str">
        <x:f>IF($B920="","",IF(COUNTIF(Account_Map!$A$6:$A$31,$B920)&gt;0,"Mapped","UNMAPPED"))</x:f>
      </x:c>
    </x:row>
    <x:row r="921">
      <x:c r="A921" s="290"/>
      <x:c r="F921" s="400"/>
      <x:c r="I921" s="392"/>
      <x:c r="J921" t="str">
        <x:f>IF($B921="","",IF(COUNTIF(Account_Map!$A$6:$A$31,$B921)&gt;0,"Mapped","UNMAPPED"))</x:f>
      </x:c>
    </x:row>
    <x:row r="922">
      <x:c r="A922" s="290"/>
      <x:c r="F922" s="400"/>
      <x:c r="I922" s="392"/>
      <x:c r="J922" t="str">
        <x:f>IF($B922="","",IF(COUNTIF(Account_Map!$A$6:$A$31,$B922)&gt;0,"Mapped","UNMAPPED"))</x:f>
      </x:c>
    </x:row>
    <x:row r="923">
      <x:c r="A923" s="290"/>
      <x:c r="F923" s="400"/>
      <x:c r="I923" s="392"/>
      <x:c r="J923" t="str">
        <x:f>IF($B923="","",IF(COUNTIF(Account_Map!$A$6:$A$31,$B923)&gt;0,"Mapped","UNMAPPED"))</x:f>
      </x:c>
    </x:row>
    <x:row r="924">
      <x:c r="A924" s="290"/>
      <x:c r="F924" s="400"/>
      <x:c r="I924" s="392"/>
      <x:c r="J924" t="str">
        <x:f>IF($B924="","",IF(COUNTIF(Account_Map!$A$6:$A$31,$B924)&gt;0,"Mapped","UNMAPPED"))</x:f>
      </x:c>
    </x:row>
    <x:row r="925">
      <x:c r="A925" s="290"/>
      <x:c r="F925" s="400"/>
      <x:c r="I925" s="392"/>
      <x:c r="J925" t="str">
        <x:f>IF($B925="","",IF(COUNTIF(Account_Map!$A$6:$A$31,$B925)&gt;0,"Mapped","UNMAPPED"))</x:f>
      </x:c>
    </x:row>
    <x:row r="926">
      <x:c r="A926" s="290"/>
      <x:c r="F926" s="400"/>
      <x:c r="I926" s="392"/>
      <x:c r="J926" t="str">
        <x:f>IF($B926="","",IF(COUNTIF(Account_Map!$A$6:$A$31,$B926)&gt;0,"Mapped","UNMAPPED"))</x:f>
      </x:c>
    </x:row>
    <x:row r="927">
      <x:c r="A927" s="290"/>
      <x:c r="F927" s="400"/>
      <x:c r="I927" s="392"/>
      <x:c r="J927" t="str">
        <x:f>IF($B927="","",IF(COUNTIF(Account_Map!$A$6:$A$31,$B927)&gt;0,"Mapped","UNMAPPED"))</x:f>
      </x:c>
    </x:row>
    <x:row r="928">
      <x:c r="A928" s="290"/>
      <x:c r="F928" s="400"/>
      <x:c r="I928" s="392"/>
      <x:c r="J928" t="str">
        <x:f>IF($B928="","",IF(COUNTIF(Account_Map!$A$6:$A$31,$B928)&gt;0,"Mapped","UNMAPPED"))</x:f>
      </x:c>
    </x:row>
    <x:row r="929">
      <x:c r="A929" s="290"/>
      <x:c r="F929" s="400"/>
      <x:c r="I929" s="392"/>
      <x:c r="J929" t="str">
        <x:f>IF($B929="","",IF(COUNTIF(Account_Map!$A$6:$A$31,$B929)&gt;0,"Mapped","UNMAPPED"))</x:f>
      </x:c>
    </x:row>
    <x:row r="930">
      <x:c r="A930" s="290"/>
      <x:c r="F930" s="400"/>
      <x:c r="I930" s="392"/>
      <x:c r="J930" t="str">
        <x:f>IF($B930="","",IF(COUNTIF(Account_Map!$A$6:$A$31,$B930)&gt;0,"Mapped","UNMAPPED"))</x:f>
      </x:c>
    </x:row>
    <x:row r="931">
      <x:c r="A931" s="290"/>
      <x:c r="F931" s="400"/>
      <x:c r="I931" s="392"/>
      <x:c r="J931" t="str">
        <x:f>IF($B931="","",IF(COUNTIF(Account_Map!$A$6:$A$31,$B931)&gt;0,"Mapped","UNMAPPED"))</x:f>
      </x:c>
    </x:row>
    <x:row r="932">
      <x:c r="A932" s="290"/>
      <x:c r="F932" s="400"/>
      <x:c r="I932" s="392"/>
      <x:c r="J932" t="str">
        <x:f>IF($B932="","",IF(COUNTIF(Account_Map!$A$6:$A$31,$B932)&gt;0,"Mapped","UNMAPPED"))</x:f>
      </x:c>
    </x:row>
    <x:row r="933">
      <x:c r="A933" s="290"/>
      <x:c r="F933" s="400"/>
      <x:c r="I933" s="392"/>
      <x:c r="J933" t="str">
        <x:f>IF($B933="","",IF(COUNTIF(Account_Map!$A$6:$A$31,$B933)&gt;0,"Mapped","UNMAPPED"))</x:f>
      </x:c>
    </x:row>
    <x:row r="934">
      <x:c r="A934" s="290"/>
      <x:c r="F934" s="400"/>
      <x:c r="I934" s="392"/>
      <x:c r="J934" t="str">
        <x:f>IF($B934="","",IF(COUNTIF(Account_Map!$A$6:$A$31,$B934)&gt;0,"Mapped","UNMAPPED"))</x:f>
      </x:c>
    </x:row>
    <x:row r="935">
      <x:c r="A935" s="290"/>
      <x:c r="F935" s="400"/>
      <x:c r="I935" s="392"/>
      <x:c r="J935" t="str">
        <x:f>IF($B935="","",IF(COUNTIF(Account_Map!$A$6:$A$31,$B935)&gt;0,"Mapped","UNMAPPED"))</x:f>
      </x:c>
    </x:row>
    <x:row r="936">
      <x:c r="A936" s="290"/>
      <x:c r="F936" s="400"/>
      <x:c r="I936" s="392"/>
      <x:c r="J936" t="str">
        <x:f>IF($B936="","",IF(COUNTIF(Account_Map!$A$6:$A$31,$B936)&gt;0,"Mapped","UNMAPPED"))</x:f>
      </x:c>
    </x:row>
    <x:row r="937">
      <x:c r="A937" s="290"/>
      <x:c r="F937" s="400"/>
      <x:c r="I937" s="392"/>
      <x:c r="J937" t="str">
        <x:f>IF($B937="","",IF(COUNTIF(Account_Map!$A$6:$A$31,$B937)&gt;0,"Mapped","UNMAPPED"))</x:f>
      </x:c>
    </x:row>
    <x:row r="938">
      <x:c r="A938" s="290"/>
      <x:c r="F938" s="400"/>
      <x:c r="I938" s="392"/>
      <x:c r="J938" t="str">
        <x:f>IF($B938="","",IF(COUNTIF(Account_Map!$A$6:$A$31,$B938)&gt;0,"Mapped","UNMAPPED"))</x:f>
      </x:c>
    </x:row>
    <x:row r="939">
      <x:c r="A939" s="290"/>
      <x:c r="F939" s="400"/>
      <x:c r="I939" s="392"/>
      <x:c r="J939" t="str">
        <x:f>IF($B939="","",IF(COUNTIF(Account_Map!$A$6:$A$31,$B939)&gt;0,"Mapped","UNMAPPED"))</x:f>
      </x:c>
    </x:row>
    <x:row r="940">
      <x:c r="A940" s="290"/>
      <x:c r="F940" s="400"/>
      <x:c r="I940" s="392"/>
      <x:c r="J940" t="str">
        <x:f>IF($B940="","",IF(COUNTIF(Account_Map!$A$6:$A$31,$B940)&gt;0,"Mapped","UNMAPPED"))</x:f>
      </x:c>
    </x:row>
    <x:row r="941">
      <x:c r="A941" s="290"/>
      <x:c r="F941" s="400"/>
      <x:c r="I941" s="392"/>
      <x:c r="J941" t="str">
        <x:f>IF($B941="","",IF(COUNTIF(Account_Map!$A$6:$A$31,$B941)&gt;0,"Mapped","UNMAPPED"))</x:f>
      </x:c>
    </x:row>
    <x:row r="942">
      <x:c r="A942" s="290"/>
      <x:c r="F942" s="400"/>
      <x:c r="I942" s="392"/>
      <x:c r="J942" t="str">
        <x:f>IF($B942="","",IF(COUNTIF(Account_Map!$A$6:$A$31,$B942)&gt;0,"Mapped","UNMAPPED"))</x:f>
      </x:c>
    </x:row>
    <x:row r="943">
      <x:c r="A943" s="290"/>
      <x:c r="F943" s="400"/>
      <x:c r="I943" s="392"/>
      <x:c r="J943" t="str">
        <x:f>IF($B943="","",IF(COUNTIF(Account_Map!$A$6:$A$31,$B943)&gt;0,"Mapped","UNMAPPED"))</x:f>
      </x:c>
    </x:row>
    <x:row r="944">
      <x:c r="A944" s="290"/>
      <x:c r="F944" s="400"/>
      <x:c r="I944" s="392"/>
      <x:c r="J944" t="str">
        <x:f>IF($B944="","",IF(COUNTIF(Account_Map!$A$6:$A$31,$B944)&gt;0,"Mapped","UNMAPPED"))</x:f>
      </x:c>
    </x:row>
    <x:row r="945">
      <x:c r="A945" s="290"/>
      <x:c r="F945" s="400"/>
      <x:c r="I945" s="392"/>
      <x:c r="J945" t="str">
        <x:f>IF($B945="","",IF(COUNTIF(Account_Map!$A$6:$A$31,$B945)&gt;0,"Mapped","UNMAPPED"))</x:f>
      </x:c>
    </x:row>
    <x:row r="946">
      <x:c r="A946" s="290"/>
      <x:c r="F946" s="400"/>
      <x:c r="I946" s="392"/>
      <x:c r="J946" t="str">
        <x:f>IF($B946="","",IF(COUNTIF(Account_Map!$A$6:$A$31,$B946)&gt;0,"Mapped","UNMAPPED"))</x:f>
      </x:c>
    </x:row>
    <x:row r="947">
      <x:c r="A947" s="290"/>
      <x:c r="F947" s="400"/>
      <x:c r="I947" s="392"/>
      <x:c r="J947" t="str">
        <x:f>IF($B947="","",IF(COUNTIF(Account_Map!$A$6:$A$31,$B947)&gt;0,"Mapped","UNMAPPED"))</x:f>
      </x:c>
    </x:row>
    <x:row r="948">
      <x:c r="A948" s="290"/>
      <x:c r="F948" s="400"/>
      <x:c r="I948" s="392"/>
      <x:c r="J948" t="str">
        <x:f>IF($B948="","",IF(COUNTIF(Account_Map!$A$6:$A$31,$B948)&gt;0,"Mapped","UNMAPPED"))</x:f>
      </x:c>
    </x:row>
    <x:row r="949">
      <x:c r="A949" s="290"/>
      <x:c r="F949" s="400"/>
      <x:c r="I949" s="392"/>
      <x:c r="J949" t="str">
        <x:f>IF($B949="","",IF(COUNTIF(Account_Map!$A$6:$A$31,$B949)&gt;0,"Mapped","UNMAPPED"))</x:f>
      </x:c>
    </x:row>
    <x:row r="950">
      <x:c r="A950" s="290"/>
      <x:c r="F950" s="400"/>
      <x:c r="I950" s="392"/>
      <x:c r="J950" t="str">
        <x:f>IF($B950="","",IF(COUNTIF(Account_Map!$A$6:$A$31,$B950)&gt;0,"Mapped","UNMAPPED"))</x:f>
      </x:c>
    </x:row>
    <x:row r="951">
      <x:c r="A951" s="290"/>
      <x:c r="F951" s="400"/>
      <x:c r="I951" s="392"/>
      <x:c r="J951" t="str">
        <x:f>IF($B951="","",IF(COUNTIF(Account_Map!$A$6:$A$31,$B951)&gt;0,"Mapped","UNMAPPED"))</x:f>
      </x:c>
    </x:row>
    <x:row r="952">
      <x:c r="A952" s="290"/>
      <x:c r="F952" s="400"/>
      <x:c r="I952" s="392"/>
      <x:c r="J952" t="str">
        <x:f>IF($B952="","",IF(COUNTIF(Account_Map!$A$6:$A$31,$B952)&gt;0,"Mapped","UNMAPPED"))</x:f>
      </x:c>
    </x:row>
    <x:row r="953">
      <x:c r="A953" s="290"/>
      <x:c r="F953" s="400"/>
      <x:c r="I953" s="392"/>
      <x:c r="J953" t="str">
        <x:f>IF($B953="","",IF(COUNTIF(Account_Map!$A$6:$A$31,$B953)&gt;0,"Mapped","UNMAPPED"))</x:f>
      </x:c>
    </x:row>
    <x:row r="954">
      <x:c r="A954" s="290"/>
      <x:c r="F954" s="400"/>
      <x:c r="I954" s="392"/>
      <x:c r="J954" t="str">
        <x:f>IF($B954="","",IF(COUNTIF(Account_Map!$A$6:$A$31,$B954)&gt;0,"Mapped","UNMAPPED"))</x:f>
      </x:c>
    </x:row>
    <x:row r="955">
      <x:c r="A955" s="290"/>
      <x:c r="F955" s="400"/>
      <x:c r="I955" s="392"/>
      <x:c r="J955" t="str">
        <x:f>IF($B955="","",IF(COUNTIF(Account_Map!$A$6:$A$31,$B955)&gt;0,"Mapped","UNMAPPED"))</x:f>
      </x:c>
    </x:row>
    <x:row r="956">
      <x:c r="A956" s="290"/>
      <x:c r="F956" s="400"/>
      <x:c r="I956" s="392"/>
      <x:c r="J956" t="str">
        <x:f>IF($B956="","",IF(COUNTIF(Account_Map!$A$6:$A$31,$B956)&gt;0,"Mapped","UNMAPPED"))</x:f>
      </x:c>
    </x:row>
    <x:row r="957">
      <x:c r="A957" s="290"/>
      <x:c r="F957" s="400"/>
      <x:c r="I957" s="392"/>
      <x:c r="J957" t="str">
        <x:f>IF($B957="","",IF(COUNTIF(Account_Map!$A$6:$A$31,$B957)&gt;0,"Mapped","UNMAPPED"))</x:f>
      </x:c>
    </x:row>
    <x:row r="958">
      <x:c r="A958" s="290"/>
      <x:c r="F958" s="400"/>
      <x:c r="I958" s="392"/>
      <x:c r="J958" t="str">
        <x:f>IF($B958="","",IF(COUNTIF(Account_Map!$A$6:$A$31,$B958)&gt;0,"Mapped","UNMAPPED"))</x:f>
      </x:c>
    </x:row>
    <x:row r="959">
      <x:c r="A959" s="290"/>
      <x:c r="F959" s="400"/>
      <x:c r="I959" s="392"/>
      <x:c r="J959" t="str">
        <x:f>IF($B959="","",IF(COUNTIF(Account_Map!$A$6:$A$31,$B959)&gt;0,"Mapped","UNMAPPED"))</x:f>
      </x:c>
    </x:row>
    <x:row r="960">
      <x:c r="A960" s="290"/>
      <x:c r="F960" s="400"/>
      <x:c r="I960" s="392"/>
      <x:c r="J960" t="str">
        <x:f>IF($B960="","",IF(COUNTIF(Account_Map!$A$6:$A$31,$B960)&gt;0,"Mapped","UNMAPPED"))</x:f>
      </x:c>
    </x:row>
    <x:row r="961">
      <x:c r="A961" s="290"/>
      <x:c r="F961" s="400"/>
      <x:c r="I961" s="392"/>
      <x:c r="J961" t="str">
        <x:f>IF($B961="","",IF(COUNTIF(Account_Map!$A$6:$A$31,$B961)&gt;0,"Mapped","UNMAPPED"))</x:f>
      </x:c>
    </x:row>
    <x:row r="962">
      <x:c r="A962" s="290"/>
      <x:c r="F962" s="400"/>
      <x:c r="I962" s="392"/>
      <x:c r="J962" t="str">
        <x:f>IF($B962="","",IF(COUNTIF(Account_Map!$A$6:$A$31,$B962)&gt;0,"Mapped","UNMAPPED"))</x:f>
      </x:c>
    </x:row>
    <x:row r="963">
      <x:c r="A963" s="290"/>
      <x:c r="F963" s="400"/>
      <x:c r="I963" s="392"/>
      <x:c r="J963" t="str">
        <x:f>IF($B963="","",IF(COUNTIF(Account_Map!$A$6:$A$31,$B963)&gt;0,"Mapped","UNMAPPED"))</x:f>
      </x:c>
    </x:row>
    <x:row r="964">
      <x:c r="A964" s="290"/>
      <x:c r="F964" s="400"/>
      <x:c r="I964" s="392"/>
      <x:c r="J964" t="str">
        <x:f>IF($B964="","",IF(COUNTIF(Account_Map!$A$6:$A$31,$B964)&gt;0,"Mapped","UNMAPPED"))</x:f>
      </x:c>
    </x:row>
    <x:row r="965">
      <x:c r="A965" s="290"/>
      <x:c r="F965" s="400"/>
      <x:c r="I965" s="392"/>
      <x:c r="J965" t="str">
        <x:f>IF($B965="","",IF(COUNTIF(Account_Map!$A$6:$A$31,$B965)&gt;0,"Mapped","UNMAPPED"))</x:f>
      </x:c>
    </x:row>
    <x:row r="966">
      <x:c r="A966" s="290"/>
      <x:c r="F966" s="400"/>
      <x:c r="I966" s="392"/>
      <x:c r="J966" t="str">
        <x:f>IF($B966="","",IF(COUNTIF(Account_Map!$A$6:$A$31,$B966)&gt;0,"Mapped","UNMAPPED"))</x:f>
      </x:c>
    </x:row>
    <x:row r="967">
      <x:c r="A967" s="290"/>
      <x:c r="F967" s="400"/>
      <x:c r="I967" s="392"/>
      <x:c r="J967" t="str">
        <x:f>IF($B967="","",IF(COUNTIF(Account_Map!$A$6:$A$31,$B967)&gt;0,"Mapped","UNMAPPED"))</x:f>
      </x:c>
    </x:row>
    <x:row r="968">
      <x:c r="A968" s="290"/>
      <x:c r="F968" s="400"/>
      <x:c r="I968" s="392"/>
      <x:c r="J968" t="str">
        <x:f>IF($B968="","",IF(COUNTIF(Account_Map!$A$6:$A$31,$B968)&gt;0,"Mapped","UNMAPPED"))</x:f>
      </x:c>
    </x:row>
    <x:row r="969">
      <x:c r="A969" s="290"/>
      <x:c r="F969" s="400"/>
      <x:c r="I969" s="392"/>
      <x:c r="J969" t="str">
        <x:f>IF($B969="","",IF(COUNTIF(Account_Map!$A$6:$A$31,$B969)&gt;0,"Mapped","UNMAPPED"))</x:f>
      </x:c>
    </x:row>
    <x:row r="970">
      <x:c r="A970" s="290"/>
      <x:c r="F970" s="400"/>
      <x:c r="I970" s="392"/>
      <x:c r="J970" t="str">
        <x:f>IF($B970="","",IF(COUNTIF(Account_Map!$A$6:$A$31,$B970)&gt;0,"Mapped","UNMAPPED"))</x:f>
      </x:c>
    </x:row>
    <x:row r="971">
      <x:c r="A971" s="290"/>
      <x:c r="F971" s="400"/>
      <x:c r="I971" s="392"/>
      <x:c r="J971" t="str">
        <x:f>IF($B971="","",IF(COUNTIF(Account_Map!$A$6:$A$31,$B971)&gt;0,"Mapped","UNMAPPED"))</x:f>
      </x:c>
    </x:row>
    <x:row r="972">
      <x:c r="A972" s="290"/>
      <x:c r="F972" s="400"/>
      <x:c r="I972" s="392"/>
      <x:c r="J972" t="str">
        <x:f>IF($B972="","",IF(COUNTIF(Account_Map!$A$6:$A$31,$B972)&gt;0,"Mapped","UNMAPPED"))</x:f>
      </x:c>
    </x:row>
    <x:row r="973">
      <x:c r="A973" s="290"/>
      <x:c r="F973" s="400"/>
      <x:c r="I973" s="392"/>
      <x:c r="J973" t="str">
        <x:f>IF($B973="","",IF(COUNTIF(Account_Map!$A$6:$A$31,$B973)&gt;0,"Mapped","UNMAPPED"))</x:f>
      </x:c>
    </x:row>
    <x:row r="974">
      <x:c r="A974" s="290"/>
      <x:c r="F974" s="400"/>
      <x:c r="I974" s="392"/>
      <x:c r="J974" t="str">
        <x:f>IF($B974="","",IF(COUNTIF(Account_Map!$A$6:$A$31,$B974)&gt;0,"Mapped","UNMAPPED"))</x:f>
      </x:c>
    </x:row>
    <x:row r="975">
      <x:c r="A975" s="290"/>
      <x:c r="F975" s="400"/>
      <x:c r="I975" s="392"/>
      <x:c r="J975" t="str">
        <x:f>IF($B975="","",IF(COUNTIF(Account_Map!$A$6:$A$31,$B975)&gt;0,"Mapped","UNMAPPED"))</x:f>
      </x:c>
    </x:row>
    <x:row r="976">
      <x:c r="A976" s="290"/>
      <x:c r="F976" s="400"/>
      <x:c r="I976" s="392"/>
      <x:c r="J976" t="str">
        <x:f>IF($B976="","",IF(COUNTIF(Account_Map!$A$6:$A$31,$B976)&gt;0,"Mapped","UNMAPPED"))</x:f>
      </x:c>
    </x:row>
    <x:row r="977">
      <x:c r="A977" s="290"/>
      <x:c r="F977" s="400"/>
      <x:c r="I977" s="392"/>
      <x:c r="J977" t="str">
        <x:f>IF($B977="","",IF(COUNTIF(Account_Map!$A$6:$A$31,$B977)&gt;0,"Mapped","UNMAPPED"))</x:f>
      </x:c>
    </x:row>
    <x:row r="978">
      <x:c r="A978" s="290"/>
      <x:c r="F978" s="400"/>
      <x:c r="I978" s="392"/>
      <x:c r="J978" t="str">
        <x:f>IF($B978="","",IF(COUNTIF(Account_Map!$A$6:$A$31,$B978)&gt;0,"Mapped","UNMAPPED"))</x:f>
      </x:c>
    </x:row>
    <x:row r="979">
      <x:c r="A979" s="290"/>
      <x:c r="F979" s="400"/>
      <x:c r="I979" s="392"/>
      <x:c r="J979" t="str">
        <x:f>IF($B979="","",IF(COUNTIF(Account_Map!$A$6:$A$31,$B979)&gt;0,"Mapped","UNMAPPED"))</x:f>
      </x:c>
    </x:row>
    <x:row r="980">
      <x:c r="A980" s="290"/>
      <x:c r="F980" s="400"/>
      <x:c r="I980" s="392"/>
      <x:c r="J980" t="str">
        <x:f>IF($B980="","",IF(COUNTIF(Account_Map!$A$6:$A$31,$B980)&gt;0,"Mapped","UNMAPPED"))</x:f>
      </x:c>
    </x:row>
    <x:row r="981">
      <x:c r="A981" s="290"/>
      <x:c r="F981" s="400"/>
      <x:c r="I981" s="392"/>
      <x:c r="J981" t="str">
        <x:f>IF($B981="","",IF(COUNTIF(Account_Map!$A$6:$A$31,$B981)&gt;0,"Mapped","UNMAPPED"))</x:f>
      </x:c>
    </x:row>
    <x:row r="982">
      <x:c r="A982" s="290"/>
      <x:c r="F982" s="400"/>
      <x:c r="I982" s="392"/>
      <x:c r="J982" t="str">
        <x:f>IF($B982="","",IF(COUNTIF(Account_Map!$A$6:$A$31,$B982)&gt;0,"Mapped","UNMAPPED"))</x:f>
      </x:c>
    </x:row>
    <x:row r="983">
      <x:c r="A983" s="290"/>
      <x:c r="F983" s="400"/>
      <x:c r="I983" s="392"/>
      <x:c r="J983" t="str">
        <x:f>IF($B983="","",IF(COUNTIF(Account_Map!$A$6:$A$31,$B983)&gt;0,"Mapped","UNMAPPED"))</x:f>
      </x:c>
    </x:row>
    <x:row r="984">
      <x:c r="A984" s="290"/>
      <x:c r="F984" s="400"/>
      <x:c r="I984" s="392"/>
      <x:c r="J984" t="str">
        <x:f>IF($B984="","",IF(COUNTIF(Account_Map!$A$6:$A$31,$B984)&gt;0,"Mapped","UNMAPPED"))</x:f>
      </x:c>
    </x:row>
    <x:row r="985">
      <x:c r="A985" s="290"/>
      <x:c r="F985" s="400"/>
      <x:c r="I985" s="392"/>
      <x:c r="J985" t="str">
        <x:f>IF($B985="","",IF(COUNTIF(Account_Map!$A$6:$A$31,$B985)&gt;0,"Mapped","UNMAPPED"))</x:f>
      </x:c>
    </x:row>
    <x:row r="986">
      <x:c r="A986" s="290"/>
      <x:c r="F986" s="400"/>
      <x:c r="I986" s="392"/>
      <x:c r="J986" t="str">
        <x:f>IF($B986="","",IF(COUNTIF(Account_Map!$A$6:$A$31,$B986)&gt;0,"Mapped","UNMAPPED"))</x:f>
      </x:c>
    </x:row>
    <x:row r="987">
      <x:c r="A987" s="290"/>
      <x:c r="F987" s="400"/>
      <x:c r="I987" s="392"/>
      <x:c r="J987" t="str">
        <x:f>IF($B987="","",IF(COUNTIF(Account_Map!$A$6:$A$31,$B987)&gt;0,"Mapped","UNMAPPED"))</x:f>
      </x:c>
    </x:row>
    <x:row r="988">
      <x:c r="A988" s="290"/>
      <x:c r="F988" s="400"/>
      <x:c r="I988" s="392"/>
      <x:c r="J988" t="str">
        <x:f>IF($B988="","",IF(COUNTIF(Account_Map!$A$6:$A$31,$B988)&gt;0,"Mapped","UNMAPPED"))</x:f>
      </x:c>
    </x:row>
    <x:row r="989">
      <x:c r="A989" s="290"/>
      <x:c r="F989" s="400"/>
      <x:c r="I989" s="392"/>
      <x:c r="J989" t="str">
        <x:f>IF($B989="","",IF(COUNTIF(Account_Map!$A$6:$A$31,$B989)&gt;0,"Mapped","UNMAPPED"))</x:f>
      </x:c>
    </x:row>
    <x:row r="990">
      <x:c r="A990" s="290"/>
      <x:c r="F990" s="400"/>
      <x:c r="I990" s="392"/>
      <x:c r="J990" t="str">
        <x:f>IF($B990="","",IF(COUNTIF(Account_Map!$A$6:$A$31,$B990)&gt;0,"Mapped","UNMAPPED"))</x:f>
      </x:c>
    </x:row>
    <x:row r="991">
      <x:c r="A991" s="290"/>
      <x:c r="F991" s="400"/>
      <x:c r="I991" s="392"/>
      <x:c r="J991" t="str">
        <x:f>IF($B991="","",IF(COUNTIF(Account_Map!$A$6:$A$31,$B991)&gt;0,"Mapped","UNMAPPED"))</x:f>
      </x:c>
    </x:row>
    <x:row r="992">
      <x:c r="A992" s="290"/>
      <x:c r="F992" s="400"/>
      <x:c r="I992" s="392"/>
      <x:c r="J992" t="str">
        <x:f>IF($B992="","",IF(COUNTIF(Account_Map!$A$6:$A$31,$B992)&gt;0,"Mapped","UNMAPPED"))</x:f>
      </x:c>
    </x:row>
    <x:row r="993">
      <x:c r="A993" s="290"/>
      <x:c r="F993" s="400"/>
      <x:c r="I993" s="392"/>
      <x:c r="J993" t="str">
        <x:f>IF($B993="","",IF(COUNTIF(Account_Map!$A$6:$A$31,$B993)&gt;0,"Mapped","UNMAPPED"))</x:f>
      </x:c>
    </x:row>
    <x:row r="994">
      <x:c r="A994" s="290"/>
      <x:c r="F994" s="400"/>
      <x:c r="I994" s="392"/>
      <x:c r="J994" t="str">
        <x:f>IF($B994="","",IF(COUNTIF(Account_Map!$A$6:$A$31,$B994)&gt;0,"Mapped","UNMAPPED"))</x:f>
      </x:c>
    </x:row>
    <x:row r="995">
      <x:c r="A995" s="290"/>
      <x:c r="F995" s="400"/>
      <x:c r="I995" s="392"/>
      <x:c r="J995" t="str">
        <x:f>IF($B995="","",IF(COUNTIF(Account_Map!$A$6:$A$31,$B995)&gt;0,"Mapped","UNMAPPED"))</x:f>
      </x:c>
    </x:row>
    <x:row r="996">
      <x:c r="A996" s="290"/>
      <x:c r="F996" s="400"/>
      <x:c r="I996" s="392"/>
      <x:c r="J996" t="str">
        <x:f>IF($B996="","",IF(COUNTIF(Account_Map!$A$6:$A$31,$B996)&gt;0,"Mapped","UNMAPPED"))</x:f>
      </x:c>
    </x:row>
    <x:row r="997">
      <x:c r="A997" s="290"/>
      <x:c r="F997" s="400"/>
      <x:c r="I997" s="392"/>
      <x:c r="J997" t="str">
        <x:f>IF($B997="","",IF(COUNTIF(Account_Map!$A$6:$A$31,$B997)&gt;0,"Mapped","UNMAPPED"))</x:f>
      </x:c>
    </x:row>
    <x:row r="998">
      <x:c r="A998" s="290"/>
      <x:c r="F998" s="400"/>
      <x:c r="I998" s="392"/>
      <x:c r="J998" t="str">
        <x:f>IF($B998="","",IF(COUNTIF(Account_Map!$A$6:$A$31,$B998)&gt;0,"Mapped","UNMAPPED"))</x:f>
      </x:c>
    </x:row>
    <x:row r="999">
      <x:c r="A999" s="290"/>
      <x:c r="F999" s="400"/>
      <x:c r="I999" s="392"/>
      <x:c r="J999" t="str">
        <x:f>IF($B999="","",IF(COUNTIF(Account_Map!$A$6:$A$31,$B999)&gt;0,"Mapped","UNMAPPED"))</x:f>
      </x:c>
    </x:row>
    <x:row r="1000">
      <x:c r="A1000" s="290"/>
      <x:c r="F1000" s="400"/>
      <x:c r="I1000" s="392"/>
      <x:c r="J1000" t="str">
        <x:f>IF($B1000="","",IF(COUNTIF(Account_Map!$A$6:$A$31,$B1000)&gt;0,"Mapped","UNMAPPED"))</x:f>
      </x:c>
    </x:row>
    <x:row r="1001">
      <x:c r="A1001" s="290"/>
      <x:c r="F1001" s="400"/>
      <x:c r="I1001" s="392"/>
      <x:c r="J1001" t="str">
        <x:f>IF($B1001="","",IF(COUNTIF(Account_Map!$A$6:$A$31,$B1001)&gt;0,"Mapped","UNMAPPED"))</x:f>
      </x:c>
    </x:row>
    <x:row r="1002">
      <x:c r="A1002" s="290"/>
      <x:c r="F1002" s="400"/>
      <x:c r="I1002" s="392"/>
      <x:c r="J1002" t="str">
        <x:f>IF($B1002="","",IF(COUNTIF(Account_Map!$A$6:$A$31,$B1002)&gt;0,"Mapped","UNMAPPED"))</x:f>
      </x:c>
    </x:row>
    <x:row r="1003">
      <x:c r="A1003" s="290"/>
      <x:c r="F1003" s="400"/>
      <x:c r="I1003" s="392"/>
      <x:c r="J1003" t="str">
        <x:f>IF($B1003="","",IF(COUNTIF(Account_Map!$A$6:$A$31,$B1003)&gt;0,"Mapped","UNMAPPED"))</x:f>
      </x:c>
    </x:row>
    <x:row r="1004">
      <x:c r="A1004" s="290"/>
      <x:c r="F1004" s="400"/>
      <x:c r="I1004" s="392"/>
      <x:c r="J1004" t="str">
        <x:f>IF($B1004="","",IF(COUNTIF(Account_Map!$A$6:$A$31,$B1004)&gt;0,"Mapped","UNMAPPED"))</x:f>
      </x:c>
    </x:row>
    <x:row r="1005">
      <x:c r="A1005" s="290"/>
      <x:c r="F1005" s="400"/>
      <x:c r="I1005" s="392"/>
      <x:c r="J1005" t="str">
        <x:f>IF($B1005="","",IF(COUNTIF(Account_Map!$A$6:$A$31,$B1005)&gt;0,"Mapped","UNMAPPED"))</x:f>
      </x:c>
    </x:row>
    <x:row r="1006">
      <x:c r="A1006" s="290"/>
      <x:c r="F1006" s="400"/>
      <x:c r="I1006" s="392"/>
      <x:c r="J1006" t="str">
        <x:f>IF($B1006="","",IF(COUNTIF(Account_Map!$A$6:$A$31,$B1006)&gt;0,"Mapped","UNMAPPED"))</x:f>
      </x:c>
    </x:row>
    <x:row r="1007">
      <x:c r="A1007" s="290"/>
      <x:c r="F1007" s="400"/>
      <x:c r="I1007" s="392"/>
      <x:c r="J1007" t="str">
        <x:f>IF($B1007="","",IF(COUNTIF(Account_Map!$A$6:$A$31,$B1007)&gt;0,"Mapped","UNMAPPED"))</x:f>
      </x:c>
    </x:row>
    <x:row r="1008">
      <x:c r="A1008" s="290"/>
      <x:c r="F1008" s="400"/>
      <x:c r="I1008" s="392"/>
      <x:c r="J1008" t="str">
        <x:f>IF($B1008="","",IF(COUNTIF(Account_Map!$A$6:$A$31,$B1008)&gt;0,"Mapped","UNMAPPED"))</x:f>
      </x:c>
    </x:row>
    <x:row r="1009">
      <x:c r="A1009" s="290"/>
      <x:c r="F1009" s="400"/>
      <x:c r="I1009" s="392"/>
      <x:c r="J1009" t="str">
        <x:f>IF($B1009="","",IF(COUNTIF(Account_Map!$A$6:$A$31,$B1009)&gt;0,"Mapped","UNMAPPED"))</x:f>
      </x:c>
    </x:row>
    <x:row r="1010">
      <x:c r="A1010" s="290"/>
      <x:c r="F1010" s="400"/>
      <x:c r="I1010" s="392"/>
      <x:c r="J1010" t="str">
        <x:f>IF($B1010="","",IF(COUNTIF(Account_Map!$A$6:$A$31,$B1010)&gt;0,"Mapped","UNMAPPED"))</x:f>
      </x:c>
    </x:row>
    <x:row r="1011">
      <x:c r="A1011" s="290"/>
      <x:c r="F1011" s="400"/>
      <x:c r="I1011" s="392"/>
      <x:c r="J1011" t="str">
        <x:f>IF($B1011="","",IF(COUNTIF(Account_Map!$A$6:$A$31,$B1011)&gt;0,"Mapped","UNMAPPED"))</x:f>
      </x:c>
    </x:row>
    <x:row r="1012">
      <x:c r="A1012" s="290"/>
      <x:c r="F1012" s="400"/>
      <x:c r="I1012" s="392"/>
      <x:c r="J1012" t="str">
        <x:f>IF($B1012="","",IF(COUNTIF(Account_Map!$A$6:$A$31,$B1012)&gt;0,"Mapped","UNMAPPED"))</x:f>
      </x:c>
    </x:row>
    <x:row r="1013">
      <x:c r="A1013" s="290"/>
      <x:c r="F1013" s="400"/>
      <x:c r="I1013" s="392"/>
      <x:c r="J1013" t="str">
        <x:f>IF($B1013="","",IF(COUNTIF(Account_Map!$A$6:$A$31,$B1013)&gt;0,"Mapped","UNMAPPED"))</x:f>
      </x:c>
    </x:row>
    <x:row r="1014">
      <x:c r="A1014" s="290"/>
      <x:c r="F1014" s="400"/>
      <x:c r="I1014" s="392"/>
      <x:c r="J1014" t="str">
        <x:f>IF($B1014="","",IF(COUNTIF(Account_Map!$A$6:$A$31,$B1014)&gt;0,"Mapped","UNMAPPED"))</x:f>
      </x:c>
    </x:row>
    <x:row r="1015">
      <x:c r="A1015" s="290"/>
      <x:c r="F1015" s="400"/>
      <x:c r="I1015" s="392"/>
      <x:c r="J1015" t="str">
        <x:f>IF($B1015="","",IF(COUNTIF(Account_Map!$A$6:$A$31,$B1015)&gt;0,"Mapped","UNMAPPED"))</x:f>
      </x:c>
    </x:row>
    <x:row r="1016">
      <x:c r="A1016" s="290"/>
      <x:c r="F1016" s="400"/>
      <x:c r="I1016" s="392"/>
      <x:c r="J1016" t="str">
        <x:f>IF($B1016="","",IF(COUNTIF(Account_Map!$A$6:$A$31,$B1016)&gt;0,"Mapped","UNMAPPED"))</x:f>
      </x:c>
    </x:row>
    <x:row r="1017">
      <x:c r="A1017" s="290"/>
      <x:c r="F1017" s="400"/>
      <x:c r="I1017" s="392"/>
      <x:c r="J1017" t="str">
        <x:f>IF($B1017="","",IF(COUNTIF(Account_Map!$A$6:$A$31,$B1017)&gt;0,"Mapped","UNMAPPED"))</x:f>
      </x:c>
    </x:row>
    <x:row r="1018">
      <x:c r="A1018" s="290"/>
      <x:c r="F1018" s="400"/>
      <x:c r="I1018" s="392"/>
      <x:c r="J1018" t="str">
        <x:f>IF($B1018="","",IF(COUNTIF(Account_Map!$A$6:$A$31,$B1018)&gt;0,"Mapped","UNMAPPED"))</x:f>
      </x:c>
    </x:row>
    <x:row r="1019">
      <x:c r="A1019" s="290"/>
      <x:c r="F1019" s="400"/>
      <x:c r="I1019" s="392"/>
      <x:c r="J1019" t="str">
        <x:f>IF($B1019="","",IF(COUNTIF(Account_Map!$A$6:$A$31,$B1019)&gt;0,"Mapped","UNMAPPED"))</x:f>
      </x:c>
    </x:row>
    <x:row r="1020">
      <x:c r="A1020" s="290"/>
      <x:c r="F1020" s="400"/>
      <x:c r="I1020" s="392"/>
      <x:c r="J1020" t="str">
        <x:f>IF($B1020="","",IF(COUNTIF(Account_Map!$A$6:$A$31,$B1020)&gt;0,"Mapped","UNMAPPED"))</x:f>
      </x:c>
    </x:row>
    <x:row r="1021">
      <x:c r="A1021" s="290"/>
      <x:c r="F1021" s="400"/>
      <x:c r="I1021" s="392"/>
      <x:c r="J1021" t="str">
        <x:f>IF($B1021="","",IF(COUNTIF(Account_Map!$A$6:$A$31,$B1021)&gt;0,"Mapped","UNMAPPED"))</x:f>
      </x:c>
    </x:row>
    <x:row r="1022">
      <x:c r="A1022" s="290"/>
      <x:c r="F1022" s="400"/>
      <x:c r="I1022" s="392"/>
      <x:c r="J1022" t="str">
        <x:f>IF($B1022="","",IF(COUNTIF(Account_Map!$A$6:$A$31,$B1022)&gt;0,"Mapped","UNMAPPED"))</x:f>
      </x:c>
    </x:row>
    <x:row r="1023">
      <x:c r="A1023" s="290"/>
      <x:c r="F1023" s="400"/>
      <x:c r="I1023" s="392"/>
      <x:c r="J1023" t="str">
        <x:f>IF($B1023="","",IF(COUNTIF(Account_Map!$A$6:$A$31,$B1023)&gt;0,"Mapped","UNMAPPED"))</x:f>
      </x:c>
    </x:row>
    <x:row r="1024">
      <x:c r="A1024" s="290"/>
      <x:c r="F1024" s="400"/>
      <x:c r="I1024" s="392"/>
      <x:c r="J1024" t="str">
        <x:f>IF($B1024="","",IF(COUNTIF(Account_Map!$A$6:$A$31,$B1024)&gt;0,"Mapped","UNMAPPED"))</x:f>
      </x:c>
    </x:row>
    <x:row r="1025">
      <x:c r="A1025" s="290"/>
      <x:c r="F1025" s="400"/>
      <x:c r="I1025" s="392"/>
      <x:c r="J1025" t="str">
        <x:f>IF($B1025="","",IF(COUNTIF(Account_Map!$A$6:$A$31,$B1025)&gt;0,"Mapped","UNMAPPED"))</x:f>
      </x:c>
    </x:row>
    <x:row r="1026">
      <x:c r="A1026" s="290"/>
      <x:c r="F1026" s="400"/>
      <x:c r="I1026" s="392"/>
      <x:c r="J1026" t="str">
        <x:f>IF($B1026="","",IF(COUNTIF(Account_Map!$A$6:$A$31,$B1026)&gt;0,"Mapped","UNMAPPED"))</x:f>
      </x:c>
    </x:row>
    <x:row r="1027">
      <x:c r="A1027" s="290"/>
      <x:c r="F1027" s="400"/>
      <x:c r="I1027" s="392"/>
      <x:c r="J1027" t="str">
        <x:f>IF($B1027="","",IF(COUNTIF(Account_Map!$A$6:$A$31,$B1027)&gt;0,"Mapped","UNMAPPED"))</x:f>
      </x:c>
    </x:row>
    <x:row r="1028">
      <x:c r="A1028" s="290"/>
      <x:c r="F1028" s="400"/>
      <x:c r="I1028" s="392"/>
      <x:c r="J1028" t="str">
        <x:f>IF($B1028="","",IF(COUNTIF(Account_Map!$A$6:$A$31,$B1028)&gt;0,"Mapped","UNMAPPED"))</x:f>
      </x:c>
    </x:row>
    <x:row r="1029">
      <x:c r="A1029" s="290"/>
      <x:c r="F1029" s="400"/>
      <x:c r="I1029" s="392"/>
      <x:c r="J1029" t="str">
        <x:f>IF($B1029="","",IF(COUNTIF(Account_Map!$A$6:$A$31,$B1029)&gt;0,"Mapped","UNMAPPED"))</x:f>
      </x:c>
    </x:row>
    <x:row r="1030">
      <x:c r="A1030" s="290"/>
      <x:c r="F1030" s="400"/>
      <x:c r="I1030" s="392"/>
      <x:c r="J1030" t="str">
        <x:f>IF($B1030="","",IF(COUNTIF(Account_Map!$A$6:$A$31,$B1030)&gt;0,"Mapped","UNMAPPED"))</x:f>
      </x:c>
    </x:row>
    <x:row r="1031">
      <x:c r="A1031" s="290"/>
      <x:c r="F1031" s="400"/>
      <x:c r="I1031" s="392"/>
      <x:c r="J1031" t="str">
        <x:f>IF($B1031="","",IF(COUNTIF(Account_Map!$A$6:$A$31,$B1031)&gt;0,"Mapped","UNMAPPED"))</x:f>
      </x:c>
    </x:row>
    <x:row r="1032">
      <x:c r="A1032" s="290"/>
      <x:c r="F1032" s="400"/>
      <x:c r="I1032" s="392"/>
      <x:c r="J1032" t="str">
        <x:f>IF($B1032="","",IF(COUNTIF(Account_Map!$A$6:$A$31,$B1032)&gt;0,"Mapped","UNMAPPED"))</x:f>
      </x:c>
    </x:row>
    <x:row r="1033">
      <x:c r="A1033" s="290"/>
      <x:c r="F1033" s="400"/>
      <x:c r="I1033" s="392"/>
      <x:c r="J1033" t="str">
        <x:f>IF($B1033="","",IF(COUNTIF(Account_Map!$A$6:$A$31,$B1033)&gt;0,"Mapped","UNMAPPED"))</x:f>
      </x:c>
    </x:row>
    <x:row r="1034">
      <x:c r="A1034" s="290"/>
      <x:c r="F1034" s="400"/>
      <x:c r="I1034" s="392"/>
      <x:c r="J1034" t="str">
        <x:f>IF($B1034="","",IF(COUNTIF(Account_Map!$A$6:$A$31,$B1034)&gt;0,"Mapped","UNMAPPED"))</x:f>
      </x:c>
    </x:row>
    <x:row r="1035">
      <x:c r="A1035" s="290"/>
      <x:c r="F1035" s="400"/>
      <x:c r="I1035" s="392"/>
      <x:c r="J1035" t="str">
        <x:f>IF($B1035="","",IF(COUNTIF(Account_Map!$A$6:$A$31,$B1035)&gt;0,"Mapped","UNMAPPED"))</x:f>
      </x:c>
    </x:row>
    <x:row r="1036">
      <x:c r="A1036" s="290"/>
      <x:c r="F1036" s="400"/>
      <x:c r="I1036" s="392"/>
      <x:c r="J1036" t="str">
        <x:f>IF($B1036="","",IF(COUNTIF(Account_Map!$A$6:$A$31,$B1036)&gt;0,"Mapped","UNMAPPED"))</x:f>
      </x:c>
    </x:row>
    <x:row r="1037">
      <x:c r="A1037" s="290"/>
      <x:c r="F1037" s="400"/>
      <x:c r="I1037" s="392"/>
      <x:c r="J1037" t="str">
        <x:f>IF($B1037="","",IF(COUNTIF(Account_Map!$A$6:$A$31,$B1037)&gt;0,"Mapped","UNMAPPED"))</x:f>
      </x:c>
    </x:row>
    <x:row r="1038">
      <x:c r="A1038" s="290"/>
      <x:c r="F1038" s="400"/>
      <x:c r="I1038" s="392"/>
      <x:c r="J1038" t="str">
        <x:f>IF($B1038="","",IF(COUNTIF(Account_Map!$A$6:$A$31,$B1038)&gt;0,"Mapped","UNMAPPED"))</x:f>
      </x:c>
    </x:row>
    <x:row r="1039">
      <x:c r="A1039" s="290"/>
      <x:c r="F1039" s="400"/>
      <x:c r="I1039" s="392"/>
      <x:c r="J1039" t="str">
        <x:f>IF($B1039="","",IF(COUNTIF(Account_Map!$A$6:$A$31,$B1039)&gt;0,"Mapped","UNMAPPED"))</x:f>
      </x:c>
    </x:row>
    <x:row r="1040">
      <x:c r="A1040" s="290"/>
      <x:c r="F1040" s="400"/>
      <x:c r="I1040" s="392"/>
      <x:c r="J1040" t="str">
        <x:f>IF($B1040="","",IF(COUNTIF(Account_Map!$A$6:$A$31,$B1040)&gt;0,"Mapped","UNMAPPED"))</x:f>
      </x:c>
    </x:row>
    <x:row r="1041">
      <x:c r="A1041" s="290"/>
      <x:c r="F1041" s="400"/>
      <x:c r="I1041" s="392"/>
      <x:c r="J1041" t="str">
        <x:f>IF($B1041="","",IF(COUNTIF(Account_Map!$A$6:$A$31,$B1041)&gt;0,"Mapped","UNMAPPED"))</x:f>
      </x:c>
    </x:row>
    <x:row r="1042">
      <x:c r="A1042" s="290"/>
      <x:c r="F1042" s="400"/>
      <x:c r="I1042" s="392"/>
      <x:c r="J1042" t="str">
        <x:f>IF($B1042="","",IF(COUNTIF(Account_Map!$A$6:$A$31,$B1042)&gt;0,"Mapped","UNMAPPED"))</x:f>
      </x:c>
    </x:row>
    <x:row r="1043">
      <x:c r="A1043" s="290"/>
      <x:c r="F1043" s="400"/>
      <x:c r="I1043" s="392"/>
      <x:c r="J1043" t="str">
        <x:f>IF($B1043="","",IF(COUNTIF(Account_Map!$A$6:$A$31,$B1043)&gt;0,"Mapped","UNMAPPED"))</x:f>
      </x:c>
    </x:row>
    <x:row r="1044">
      <x:c r="A1044" s="290"/>
      <x:c r="F1044" s="400"/>
      <x:c r="I1044" s="392"/>
      <x:c r="J1044" t="str">
        <x:f>IF($B1044="","",IF(COUNTIF(Account_Map!$A$6:$A$31,$B1044)&gt;0,"Mapped","UNMAPPED"))</x:f>
      </x:c>
    </x:row>
    <x:row r="1045">
      <x:c r="A1045" s="290"/>
      <x:c r="F1045" s="400"/>
      <x:c r="I1045" s="392"/>
      <x:c r="J1045" t="str">
        <x:f>IF($B1045="","",IF(COUNTIF(Account_Map!$A$6:$A$31,$B1045)&gt;0,"Mapped","UNMAPPED"))</x:f>
      </x:c>
    </x:row>
    <x:row r="1046">
      <x:c r="A1046" s="290"/>
      <x:c r="F1046" s="400"/>
      <x:c r="I1046" s="392"/>
      <x:c r="J1046" t="str">
        <x:f>IF($B1046="","",IF(COUNTIF(Account_Map!$A$6:$A$31,$B1046)&gt;0,"Mapped","UNMAPPED"))</x:f>
      </x:c>
    </x:row>
    <x:row r="1047">
      <x:c r="A1047" s="290"/>
      <x:c r="F1047" s="400"/>
      <x:c r="I1047" s="392"/>
      <x:c r="J1047" t="str">
        <x:f>IF($B1047="","",IF(COUNTIF(Account_Map!$A$6:$A$31,$B1047)&gt;0,"Mapped","UNMAPPED"))</x:f>
      </x:c>
    </x:row>
    <x:row r="1048">
      <x:c r="A1048" s="290"/>
      <x:c r="F1048" s="400"/>
      <x:c r="I1048" s="392"/>
      <x:c r="J1048" t="str">
        <x:f>IF($B1048="","",IF(COUNTIF(Account_Map!$A$6:$A$31,$B1048)&gt;0,"Mapped","UNMAPPED"))</x:f>
      </x:c>
    </x:row>
    <x:row r="1049">
      <x:c r="A1049" s="290"/>
      <x:c r="F1049" s="400"/>
      <x:c r="I1049" s="392"/>
      <x:c r="J1049" t="str">
        <x:f>IF($B1049="","",IF(COUNTIF(Account_Map!$A$6:$A$31,$B1049)&gt;0,"Mapped","UNMAPPED"))</x:f>
      </x:c>
    </x:row>
    <x:row r="1050">
      <x:c r="A1050" s="290"/>
      <x:c r="F1050" s="400"/>
      <x:c r="I1050" s="392"/>
      <x:c r="J1050" t="str">
        <x:f>IF($B1050="","",IF(COUNTIF(Account_Map!$A$6:$A$31,$B1050)&gt;0,"Mapped","UNMAPPED"))</x:f>
      </x:c>
    </x:row>
    <x:row r="1051">
      <x:c r="A1051" s="290"/>
      <x:c r="F1051" s="400"/>
      <x:c r="I1051" s="392"/>
      <x:c r="J1051" t="str">
        <x:f>IF($B1051="","",IF(COUNTIF(Account_Map!$A$6:$A$31,$B1051)&gt;0,"Mapped","UNMAPPED"))</x:f>
      </x:c>
    </x:row>
    <x:row r="1052">
      <x:c r="A1052" s="290"/>
      <x:c r="F1052" s="400"/>
      <x:c r="I1052" s="392"/>
      <x:c r="J1052" t="str">
        <x:f>IF($B1052="","",IF(COUNTIF(Account_Map!$A$6:$A$31,$B1052)&gt;0,"Mapped","UNMAPPED"))</x:f>
      </x:c>
    </x:row>
    <x:row r="1053">
      <x:c r="A1053" s="290"/>
      <x:c r="F1053" s="400"/>
      <x:c r="I1053" s="392"/>
      <x:c r="J1053" t="str">
        <x:f>IF($B1053="","",IF(COUNTIF(Account_Map!$A$6:$A$31,$B1053)&gt;0,"Mapped","UNMAPPED"))</x:f>
      </x:c>
    </x:row>
    <x:row r="1054">
      <x:c r="A1054" s="290"/>
      <x:c r="F1054" s="400"/>
      <x:c r="I1054" s="392"/>
      <x:c r="J1054" t="str">
        <x:f>IF($B1054="","",IF(COUNTIF(Account_Map!$A$6:$A$31,$B1054)&gt;0,"Mapped","UNMAPPED"))</x:f>
      </x:c>
    </x:row>
    <x:row r="1055">
      <x:c r="A1055" s="290"/>
      <x:c r="F1055" s="400"/>
      <x:c r="I1055" s="392"/>
      <x:c r="J1055" t="str">
        <x:f>IF($B1055="","",IF(COUNTIF(Account_Map!$A$6:$A$31,$B1055)&gt;0,"Mapped","UNMAPPED"))</x:f>
      </x:c>
    </x:row>
    <x:row r="1056">
      <x:c r="A1056" s="290"/>
      <x:c r="F1056" s="400"/>
      <x:c r="I1056" s="392"/>
      <x:c r="J1056" t="str">
        <x:f>IF($B1056="","",IF(COUNTIF(Account_Map!$A$6:$A$31,$B1056)&gt;0,"Mapped","UNMAPPED"))</x:f>
      </x:c>
    </x:row>
    <x:row r="1057">
      <x:c r="A1057" s="290"/>
      <x:c r="F1057" s="400"/>
      <x:c r="I1057" s="392"/>
      <x:c r="J1057" t="str">
        <x:f>IF($B1057="","",IF(COUNTIF(Account_Map!$A$6:$A$31,$B1057)&gt;0,"Mapped","UNMAPPED"))</x:f>
      </x:c>
    </x:row>
    <x:row r="1058">
      <x:c r="A1058" s="290"/>
      <x:c r="F1058" s="400"/>
      <x:c r="I1058" s="392"/>
      <x:c r="J1058" t="str">
        <x:f>IF($B1058="","",IF(COUNTIF(Account_Map!$A$6:$A$31,$B1058)&gt;0,"Mapped","UNMAPPED"))</x:f>
      </x:c>
    </x:row>
    <x:row r="1059">
      <x:c r="A1059" s="290"/>
      <x:c r="F1059" s="400"/>
      <x:c r="I1059" s="392"/>
      <x:c r="J1059" t="str">
        <x:f>IF($B1059="","",IF(COUNTIF(Account_Map!$A$6:$A$31,$B1059)&gt;0,"Mapped","UNMAPPED"))</x:f>
      </x:c>
    </x:row>
    <x:row r="1060">
      <x:c r="A1060" s="290"/>
      <x:c r="F1060" s="400"/>
      <x:c r="I1060" s="392"/>
      <x:c r="J1060" t="str">
        <x:f>IF($B1060="","",IF(COUNTIF(Account_Map!$A$6:$A$31,$B1060)&gt;0,"Mapped","UNMAPPED"))</x:f>
      </x:c>
    </x:row>
    <x:row r="1061">
      <x:c r="A1061" s="290"/>
      <x:c r="F1061" s="400"/>
      <x:c r="I1061" s="392"/>
      <x:c r="J1061" t="str">
        <x:f>IF($B1061="","",IF(COUNTIF(Account_Map!$A$6:$A$31,$B1061)&gt;0,"Mapped","UNMAPPED"))</x:f>
      </x:c>
    </x:row>
    <x:row r="1062">
      <x:c r="A1062" s="290"/>
      <x:c r="F1062" s="400"/>
      <x:c r="I1062" s="392"/>
      <x:c r="J1062" t="str">
        <x:f>IF($B1062="","",IF(COUNTIF(Account_Map!$A$6:$A$31,$B1062)&gt;0,"Mapped","UNMAPPED"))</x:f>
      </x:c>
    </x:row>
    <x:row r="1063">
      <x:c r="A1063" s="290"/>
      <x:c r="F1063" s="400"/>
      <x:c r="I1063" s="392"/>
      <x:c r="J1063" t="str">
        <x:f>IF($B1063="","",IF(COUNTIF(Account_Map!$A$6:$A$31,$B1063)&gt;0,"Mapped","UNMAPPED"))</x:f>
      </x:c>
    </x:row>
    <x:row r="1064">
      <x:c r="A1064" s="290"/>
      <x:c r="F1064" s="400"/>
      <x:c r="I1064" s="392"/>
      <x:c r="J1064" t="str">
        <x:f>IF($B1064="","",IF(COUNTIF(Account_Map!$A$6:$A$31,$B1064)&gt;0,"Mapped","UNMAPPED"))</x:f>
      </x:c>
    </x:row>
    <x:row r="1065">
      <x:c r="A1065" s="290"/>
      <x:c r="F1065" s="400"/>
      <x:c r="I1065" s="392"/>
      <x:c r="J1065" t="str">
        <x:f>IF($B1065="","",IF(COUNTIF(Account_Map!$A$6:$A$31,$B1065)&gt;0,"Mapped","UNMAPPED"))</x:f>
      </x:c>
    </x:row>
    <x:row r="1066">
      <x:c r="A1066" s="290"/>
      <x:c r="F1066" s="400"/>
      <x:c r="I1066" s="392"/>
      <x:c r="J1066" t="str">
        <x:f>IF($B1066="","",IF(COUNTIF(Account_Map!$A$6:$A$31,$B1066)&gt;0,"Mapped","UNMAPPED"))</x:f>
      </x:c>
    </x:row>
    <x:row r="1067">
      <x:c r="A1067" s="290"/>
      <x:c r="F1067" s="400"/>
      <x:c r="I1067" s="392"/>
      <x:c r="J1067" t="str">
        <x:f>IF($B1067="","",IF(COUNTIF(Account_Map!$A$6:$A$31,$B1067)&gt;0,"Mapped","UNMAPPED"))</x:f>
      </x:c>
    </x:row>
    <x:row r="1068">
      <x:c r="A1068" s="290"/>
      <x:c r="F1068" s="400"/>
      <x:c r="I1068" s="392"/>
      <x:c r="J1068" t="str">
        <x:f>IF($B1068="","",IF(COUNTIF(Account_Map!$A$6:$A$31,$B1068)&gt;0,"Mapped","UNMAPPED"))</x:f>
      </x:c>
    </x:row>
    <x:row r="1069">
      <x:c r="A1069" s="290"/>
      <x:c r="F1069" s="400"/>
      <x:c r="I1069" s="392"/>
      <x:c r="J1069" t="str">
        <x:f>IF($B1069="","",IF(COUNTIF(Account_Map!$A$6:$A$31,$B1069)&gt;0,"Mapped","UNMAPPED"))</x:f>
      </x:c>
    </x:row>
    <x:row r="1070">
      <x:c r="A1070" s="290"/>
      <x:c r="F1070" s="400"/>
      <x:c r="I1070" s="392"/>
      <x:c r="J1070" t="str">
        <x:f>IF($B1070="","",IF(COUNTIF(Account_Map!$A$6:$A$31,$B1070)&gt;0,"Mapped","UNMAPPED"))</x:f>
      </x:c>
    </x:row>
    <x:row r="1071">
      <x:c r="A1071" s="290"/>
      <x:c r="F1071" s="400"/>
      <x:c r="I1071" s="392"/>
      <x:c r="J1071" t="str">
        <x:f>IF($B1071="","",IF(COUNTIF(Account_Map!$A$6:$A$31,$B1071)&gt;0,"Mapped","UNMAPPED"))</x:f>
      </x:c>
    </x:row>
    <x:row r="1072">
      <x:c r="A1072" s="290"/>
      <x:c r="F1072" s="400"/>
      <x:c r="I1072" s="392"/>
      <x:c r="J1072" t="str">
        <x:f>IF($B1072="","",IF(COUNTIF(Account_Map!$A$6:$A$31,$B1072)&gt;0,"Mapped","UNMAPPED"))</x:f>
      </x:c>
    </x:row>
    <x:row r="1073">
      <x:c r="A1073" s="290"/>
      <x:c r="F1073" s="400"/>
      <x:c r="I1073" s="392"/>
      <x:c r="J1073" t="str">
        <x:f>IF($B1073="","",IF(COUNTIF(Account_Map!$A$6:$A$31,$B1073)&gt;0,"Mapped","UNMAPPED"))</x:f>
      </x:c>
    </x:row>
    <x:row r="1074">
      <x:c r="A1074" s="290"/>
      <x:c r="F1074" s="400"/>
      <x:c r="I1074" s="392"/>
      <x:c r="J1074" t="str">
        <x:f>IF($B1074="","",IF(COUNTIF(Account_Map!$A$6:$A$31,$B1074)&gt;0,"Mapped","UNMAPPED"))</x:f>
      </x:c>
    </x:row>
    <x:row r="1075">
      <x:c r="A1075" s="290"/>
      <x:c r="F1075" s="400"/>
      <x:c r="I1075" s="392"/>
      <x:c r="J1075" t="str">
        <x:f>IF($B1075="","",IF(COUNTIF(Account_Map!$A$6:$A$31,$B1075)&gt;0,"Mapped","UNMAPPED"))</x:f>
      </x:c>
    </x:row>
    <x:row r="1076">
      <x:c r="A1076" s="290"/>
      <x:c r="F1076" s="400"/>
      <x:c r="I1076" s="392"/>
      <x:c r="J1076" t="str">
        <x:f>IF($B1076="","",IF(COUNTIF(Account_Map!$A$6:$A$31,$B1076)&gt;0,"Mapped","UNMAPPED"))</x:f>
      </x:c>
    </x:row>
    <x:row r="1077">
      <x:c r="A1077" s="290"/>
      <x:c r="F1077" s="400"/>
      <x:c r="I1077" s="392"/>
      <x:c r="J1077" t="str">
        <x:f>IF($B1077="","",IF(COUNTIF(Account_Map!$A$6:$A$31,$B1077)&gt;0,"Mapped","UNMAPPED"))</x:f>
      </x:c>
    </x:row>
    <x:row r="1078">
      <x:c r="A1078" s="290"/>
      <x:c r="F1078" s="400"/>
      <x:c r="I1078" s="392"/>
      <x:c r="J1078" t="str">
        <x:f>IF($B1078="","",IF(COUNTIF(Account_Map!$A$6:$A$31,$B1078)&gt;0,"Mapped","UNMAPPED"))</x:f>
      </x:c>
    </x:row>
    <x:row r="1079">
      <x:c r="A1079" s="290"/>
      <x:c r="F1079" s="400"/>
      <x:c r="I1079" s="392"/>
      <x:c r="J1079" t="str">
        <x:f>IF($B1079="","",IF(COUNTIF(Account_Map!$A$6:$A$31,$B1079)&gt;0,"Mapped","UNMAPPED"))</x:f>
      </x:c>
    </x:row>
    <x:row r="1080">
      <x:c r="A1080" s="290"/>
      <x:c r="F1080" s="400"/>
      <x:c r="I1080" s="392"/>
      <x:c r="J1080" t="str">
        <x:f>IF($B1080="","",IF(COUNTIF(Account_Map!$A$6:$A$31,$B1080)&gt;0,"Mapped","UNMAPPED"))</x:f>
      </x:c>
    </x:row>
    <x:row r="1081">
      <x:c r="A1081" s="290"/>
      <x:c r="F1081" s="400"/>
      <x:c r="I1081" s="392"/>
      <x:c r="J1081" t="str">
        <x:f>IF($B1081="","",IF(COUNTIF(Account_Map!$A$6:$A$31,$B1081)&gt;0,"Mapped","UNMAPPED"))</x:f>
      </x:c>
    </x:row>
    <x:row r="1082">
      <x:c r="A1082" s="290"/>
      <x:c r="F1082" s="400"/>
      <x:c r="I1082" s="392"/>
      <x:c r="J1082" t="str">
        <x:f>IF($B1082="","",IF(COUNTIF(Account_Map!$A$6:$A$31,$B1082)&gt;0,"Mapped","UNMAPPED"))</x:f>
      </x:c>
    </x:row>
    <x:row r="1083">
      <x:c r="A1083" s="290"/>
      <x:c r="F1083" s="400"/>
      <x:c r="I1083" s="392"/>
      <x:c r="J1083" t="str">
        <x:f>IF($B1083="","",IF(COUNTIF(Account_Map!$A$6:$A$31,$B1083)&gt;0,"Mapped","UNMAPPED"))</x:f>
      </x:c>
    </x:row>
    <x:row r="1084">
      <x:c r="A1084" s="290"/>
      <x:c r="F1084" s="400"/>
      <x:c r="I1084" s="392"/>
      <x:c r="J1084" t="str">
        <x:f>IF($B1084="","",IF(COUNTIF(Account_Map!$A$6:$A$31,$B1084)&gt;0,"Mapped","UNMAPPED"))</x:f>
      </x:c>
    </x:row>
    <x:row r="1085">
      <x:c r="A1085" s="290"/>
      <x:c r="F1085" s="400"/>
      <x:c r="I1085" s="392"/>
      <x:c r="J1085" t="str">
        <x:f>IF($B1085="","",IF(COUNTIF(Account_Map!$A$6:$A$31,$B1085)&gt;0,"Mapped","UNMAPPED"))</x:f>
      </x:c>
    </x:row>
    <x:row r="1086">
      <x:c r="A1086" s="290"/>
      <x:c r="F1086" s="400"/>
      <x:c r="I1086" s="392"/>
      <x:c r="J1086" t="str">
        <x:f>IF($B1086="","",IF(COUNTIF(Account_Map!$A$6:$A$31,$B1086)&gt;0,"Mapped","UNMAPPED"))</x:f>
      </x:c>
    </x:row>
    <x:row r="1087">
      <x:c r="A1087" s="290"/>
      <x:c r="F1087" s="400"/>
      <x:c r="I1087" s="392"/>
      <x:c r="J1087" t="str">
        <x:f>IF($B1087="","",IF(COUNTIF(Account_Map!$A$6:$A$31,$B1087)&gt;0,"Mapped","UNMAPPED"))</x:f>
      </x:c>
    </x:row>
    <x:row r="1088">
      <x:c r="A1088" s="290"/>
      <x:c r="F1088" s="400"/>
      <x:c r="I1088" s="392"/>
      <x:c r="J1088" t="str">
        <x:f>IF($B1088="","",IF(COUNTIF(Account_Map!$A$6:$A$31,$B1088)&gt;0,"Mapped","UNMAPPED"))</x:f>
      </x:c>
    </x:row>
    <x:row r="1089">
      <x:c r="A1089" s="290"/>
      <x:c r="F1089" s="400"/>
      <x:c r="I1089" s="392"/>
      <x:c r="J1089" t="str">
        <x:f>IF($B1089="","",IF(COUNTIF(Account_Map!$A$6:$A$31,$B1089)&gt;0,"Mapped","UNMAPPED"))</x:f>
      </x:c>
    </x:row>
    <x:row r="1090">
      <x:c r="A1090" s="290"/>
      <x:c r="F1090" s="400"/>
      <x:c r="I1090" s="392"/>
      <x:c r="J1090" t="str">
        <x:f>IF($B1090="","",IF(COUNTIF(Account_Map!$A$6:$A$31,$B1090)&gt;0,"Mapped","UNMAPPED"))</x:f>
      </x:c>
    </x:row>
    <x:row r="1091">
      <x:c r="A1091" s="290"/>
      <x:c r="F1091" s="400"/>
      <x:c r="I1091" s="392"/>
      <x:c r="J1091" t="str">
        <x:f>IF($B1091="","",IF(COUNTIF(Account_Map!$A$6:$A$31,$B1091)&gt;0,"Mapped","UNMAPPED"))</x:f>
      </x:c>
    </x:row>
    <x:row r="1092">
      <x:c r="A1092" s="290"/>
      <x:c r="F1092" s="400"/>
      <x:c r="I1092" s="392"/>
      <x:c r="J1092" t="str">
        <x:f>IF($B1092="","",IF(COUNTIF(Account_Map!$A$6:$A$31,$B1092)&gt;0,"Mapped","UNMAPPED"))</x:f>
      </x:c>
    </x:row>
    <x:row r="1093">
      <x:c r="A1093" s="290"/>
      <x:c r="F1093" s="400"/>
      <x:c r="I1093" s="392"/>
      <x:c r="J1093" t="str">
        <x:f>IF($B1093="","",IF(COUNTIF(Account_Map!$A$6:$A$31,$B1093)&gt;0,"Mapped","UNMAPPED"))</x:f>
      </x:c>
    </x:row>
    <x:row r="1094">
      <x:c r="A1094" s="290"/>
      <x:c r="F1094" s="400"/>
      <x:c r="I1094" s="392"/>
      <x:c r="J1094" t="str">
        <x:f>IF($B1094="","",IF(COUNTIF(Account_Map!$A$6:$A$31,$B1094)&gt;0,"Mapped","UNMAPPED"))</x:f>
      </x:c>
    </x:row>
    <x:row r="1095">
      <x:c r="A1095" s="290"/>
      <x:c r="F1095" s="400"/>
      <x:c r="I1095" s="392"/>
      <x:c r="J1095" t="str">
        <x:f>IF($B1095="","",IF(COUNTIF(Account_Map!$A$6:$A$31,$B1095)&gt;0,"Mapped","UNMAPPED"))</x:f>
      </x:c>
    </x:row>
    <x:row r="1096">
      <x:c r="A1096" s="290"/>
      <x:c r="F1096" s="400"/>
      <x:c r="I1096" s="392"/>
      <x:c r="J1096" t="str">
        <x:f>IF($B1096="","",IF(COUNTIF(Account_Map!$A$6:$A$31,$B1096)&gt;0,"Mapped","UNMAPPED"))</x:f>
      </x:c>
    </x:row>
    <x:row r="1097">
      <x:c r="A1097" s="290"/>
      <x:c r="F1097" s="400"/>
      <x:c r="I1097" s="392"/>
      <x:c r="J1097" t="str">
        <x:f>IF($B1097="","",IF(COUNTIF(Account_Map!$A$6:$A$31,$B1097)&gt;0,"Mapped","UNMAPPED"))</x:f>
      </x:c>
    </x:row>
    <x:row r="1098">
      <x:c r="A1098" s="290"/>
      <x:c r="F1098" s="400"/>
      <x:c r="I1098" s="392"/>
      <x:c r="J1098" t="str">
        <x:f>IF($B1098="","",IF(COUNTIF(Account_Map!$A$6:$A$31,$B1098)&gt;0,"Mapped","UNMAPPED"))</x:f>
      </x:c>
    </x:row>
    <x:row r="1099">
      <x:c r="A1099" s="290"/>
      <x:c r="F1099" s="400"/>
      <x:c r="I1099" s="392"/>
      <x:c r="J1099" t="str">
        <x:f>IF($B1099="","",IF(COUNTIF(Account_Map!$A$6:$A$31,$B1099)&gt;0,"Mapped","UNMAPPED"))</x:f>
      </x:c>
    </x:row>
    <x:row r="1100">
      <x:c r="A1100" s="290"/>
      <x:c r="F1100" s="400"/>
      <x:c r="I1100" s="392"/>
      <x:c r="J1100" t="str">
        <x:f>IF($B1100="","",IF(COUNTIF(Account_Map!$A$6:$A$31,$B1100)&gt;0,"Mapped","UNMAPPED"))</x:f>
      </x:c>
    </x:row>
    <x:row r="1101">
      <x:c r="A1101" s="290"/>
      <x:c r="F1101" s="400"/>
      <x:c r="I1101" s="392"/>
      <x:c r="J1101" t="str">
        <x:f>IF($B1101="","",IF(COUNTIF(Account_Map!$A$6:$A$31,$B1101)&gt;0,"Mapped","UNMAPPED"))</x:f>
      </x:c>
    </x:row>
    <x:row r="1102">
      <x:c r="A1102" s="290"/>
      <x:c r="F1102" s="400"/>
      <x:c r="I1102" s="392"/>
      <x:c r="J1102" t="str">
        <x:f>IF($B1102="","",IF(COUNTIF(Account_Map!$A$6:$A$31,$B1102)&gt;0,"Mapped","UNMAPPED"))</x:f>
      </x:c>
    </x:row>
    <x:row r="1103">
      <x:c r="A1103" s="290"/>
      <x:c r="F1103" s="400"/>
      <x:c r="I1103" s="392"/>
      <x:c r="J1103" t="str">
        <x:f>IF($B1103="","",IF(COUNTIF(Account_Map!$A$6:$A$31,$B1103)&gt;0,"Mapped","UNMAPPED"))</x:f>
      </x:c>
    </x:row>
    <x:row r="1104">
      <x:c r="A1104" s="290"/>
      <x:c r="F1104" s="400"/>
      <x:c r="I1104" s="392"/>
      <x:c r="J1104" t="str">
        <x:f>IF($B1104="","",IF(COUNTIF(Account_Map!$A$6:$A$31,$B1104)&gt;0,"Mapped","UNMAPPED"))</x:f>
      </x:c>
    </x:row>
    <x:row r="1105">
      <x:c r="A1105" s="290"/>
      <x:c r="F1105" s="400"/>
      <x:c r="I1105" s="392"/>
      <x:c r="J1105" t="str">
        <x:f>IF($B1105="","",IF(COUNTIF(Account_Map!$A$6:$A$31,$B1105)&gt;0,"Mapped","UNMAPPED"))</x:f>
      </x:c>
    </x:row>
    <x:row r="1106">
      <x:c r="A1106" s="290"/>
      <x:c r="F1106" s="400"/>
      <x:c r="I1106" s="392"/>
      <x:c r="J1106" t="str">
        <x:f>IF($B1106="","",IF(COUNTIF(Account_Map!$A$6:$A$31,$B1106)&gt;0,"Mapped","UNMAPPED"))</x:f>
      </x:c>
    </x:row>
    <x:row r="1107">
      <x:c r="A1107" s="290"/>
      <x:c r="F1107" s="400"/>
      <x:c r="I1107" s="392"/>
      <x:c r="J1107" t="str">
        <x:f>IF($B1107="","",IF(COUNTIF(Account_Map!$A$6:$A$31,$B1107)&gt;0,"Mapped","UNMAPPED"))</x:f>
      </x:c>
    </x:row>
    <x:row r="1108">
      <x:c r="A1108" s="290"/>
      <x:c r="F1108" s="400"/>
      <x:c r="I1108" s="392"/>
      <x:c r="J1108" t="str">
        <x:f>IF($B1108="","",IF(COUNTIF(Account_Map!$A$6:$A$31,$B1108)&gt;0,"Mapped","UNMAPPED"))</x:f>
      </x:c>
    </x:row>
    <x:row r="1109">
      <x:c r="A1109" s="290"/>
      <x:c r="F1109" s="400"/>
      <x:c r="I1109" s="392"/>
      <x:c r="J1109" t="str">
        <x:f>IF($B1109="","",IF(COUNTIF(Account_Map!$A$6:$A$31,$B1109)&gt;0,"Mapped","UNMAPPED"))</x:f>
      </x:c>
    </x:row>
    <x:row r="1110">
      <x:c r="A1110" s="290"/>
      <x:c r="F1110" s="400"/>
      <x:c r="I1110" s="392"/>
      <x:c r="J1110" t="str">
        <x:f>IF($B1110="","",IF(COUNTIF(Account_Map!$A$6:$A$31,$B1110)&gt;0,"Mapped","UNMAPPED"))</x:f>
      </x:c>
    </x:row>
    <x:row r="1111">
      <x:c r="A1111" s="290"/>
      <x:c r="F1111" s="400"/>
      <x:c r="I1111" s="392"/>
      <x:c r="J1111" t="str">
        <x:f>IF($B1111="","",IF(COUNTIF(Account_Map!$A$6:$A$31,$B1111)&gt;0,"Mapped","UNMAPPED"))</x:f>
      </x:c>
    </x:row>
    <x:row r="1112">
      <x:c r="A1112" s="290"/>
      <x:c r="F1112" s="400"/>
      <x:c r="I1112" s="392"/>
      <x:c r="J1112" t="str">
        <x:f>IF($B1112="","",IF(COUNTIF(Account_Map!$A$6:$A$31,$B1112)&gt;0,"Mapped","UNMAPPED"))</x:f>
      </x:c>
    </x:row>
    <x:row r="1113">
      <x:c r="A1113" s="290"/>
      <x:c r="F1113" s="400"/>
      <x:c r="I1113" s="392"/>
      <x:c r="J1113" t="str">
        <x:f>IF($B1113="","",IF(COUNTIF(Account_Map!$A$6:$A$31,$B1113)&gt;0,"Mapped","UNMAPPED"))</x:f>
      </x:c>
    </x:row>
    <x:row r="1114">
      <x:c r="A1114" s="290"/>
      <x:c r="F1114" s="400"/>
      <x:c r="I1114" s="392"/>
      <x:c r="J1114" t="str">
        <x:f>IF($B1114="","",IF(COUNTIF(Account_Map!$A$6:$A$31,$B1114)&gt;0,"Mapped","UNMAPPED"))</x:f>
      </x:c>
    </x:row>
    <x:row r="1115">
      <x:c r="A1115" s="290"/>
      <x:c r="F1115" s="400"/>
      <x:c r="I1115" s="392"/>
      <x:c r="J1115" t="str">
        <x:f>IF($B1115="","",IF(COUNTIF(Account_Map!$A$6:$A$31,$B1115)&gt;0,"Mapped","UNMAPPED"))</x:f>
      </x:c>
    </x:row>
    <x:row r="1116">
      <x:c r="A1116" s="290"/>
      <x:c r="F1116" s="400"/>
      <x:c r="I1116" s="392"/>
      <x:c r="J1116" t="str">
        <x:f>IF($B1116="","",IF(COUNTIF(Account_Map!$A$6:$A$31,$B1116)&gt;0,"Mapped","UNMAPPED"))</x:f>
      </x:c>
    </x:row>
    <x:row r="1117">
      <x:c r="A1117" s="290"/>
      <x:c r="F1117" s="400"/>
      <x:c r="I1117" s="392"/>
      <x:c r="J1117" t="str">
        <x:f>IF($B1117="","",IF(COUNTIF(Account_Map!$A$6:$A$31,$B1117)&gt;0,"Mapped","UNMAPPED"))</x:f>
      </x:c>
    </x:row>
    <x:row r="1118">
      <x:c r="A1118" s="290"/>
      <x:c r="F1118" s="400"/>
      <x:c r="I1118" s="392"/>
      <x:c r="J1118" t="str">
        <x:f>IF($B1118="","",IF(COUNTIF(Account_Map!$A$6:$A$31,$B1118)&gt;0,"Mapped","UNMAPPED"))</x:f>
      </x:c>
    </x:row>
    <x:row r="1119">
      <x:c r="A1119" s="290"/>
      <x:c r="F1119" s="400"/>
      <x:c r="I1119" s="392"/>
      <x:c r="J1119" t="str">
        <x:f>IF($B1119="","",IF(COUNTIF(Account_Map!$A$6:$A$31,$B1119)&gt;0,"Mapped","UNMAPPED"))</x:f>
      </x:c>
    </x:row>
    <x:row r="1120">
      <x:c r="A1120" s="290"/>
      <x:c r="F1120" s="400"/>
      <x:c r="I1120" s="392"/>
      <x:c r="J1120" t="str">
        <x:f>IF($B1120="","",IF(COUNTIF(Account_Map!$A$6:$A$31,$B1120)&gt;0,"Mapped","UNMAPPED"))</x:f>
      </x:c>
    </x:row>
    <x:row r="1121">
      <x:c r="A1121" s="290"/>
      <x:c r="F1121" s="400"/>
      <x:c r="I1121" s="392"/>
      <x:c r="J1121" t="str">
        <x:f>IF($B1121="","",IF(COUNTIF(Account_Map!$A$6:$A$31,$B1121)&gt;0,"Mapped","UNMAPPED"))</x:f>
      </x:c>
    </x:row>
    <x:row r="1122">
      <x:c r="A1122" s="290"/>
      <x:c r="F1122" s="400"/>
      <x:c r="I1122" s="392"/>
      <x:c r="J1122" t="str">
        <x:f>IF($B1122="","",IF(COUNTIF(Account_Map!$A$6:$A$31,$B1122)&gt;0,"Mapped","UNMAPPED"))</x:f>
      </x:c>
    </x:row>
    <x:row r="1123">
      <x:c r="A1123" s="290"/>
      <x:c r="F1123" s="400"/>
      <x:c r="I1123" s="392"/>
      <x:c r="J1123" t="str">
        <x:f>IF($B1123="","",IF(COUNTIF(Account_Map!$A$6:$A$31,$B1123)&gt;0,"Mapped","UNMAPPED"))</x:f>
      </x:c>
    </x:row>
    <x:row r="1124">
      <x:c r="A1124" s="290"/>
      <x:c r="F1124" s="400"/>
      <x:c r="I1124" s="392"/>
      <x:c r="J1124" t="str">
        <x:f>IF($B1124="","",IF(COUNTIF(Account_Map!$A$6:$A$31,$B1124)&gt;0,"Mapped","UNMAPPED"))</x:f>
      </x:c>
    </x:row>
    <x:row r="1125">
      <x:c r="A1125" s="290"/>
      <x:c r="F1125" s="400"/>
      <x:c r="I1125" s="392"/>
      <x:c r="J1125" t="str">
        <x:f>IF($B1125="","",IF(COUNTIF(Account_Map!$A$6:$A$31,$B1125)&gt;0,"Mapped","UNMAPPED"))</x:f>
      </x:c>
    </x:row>
    <x:row r="1126">
      <x:c r="A1126" s="290"/>
      <x:c r="F1126" s="400"/>
      <x:c r="I1126" s="392"/>
      <x:c r="J1126" t="str">
        <x:f>IF($B1126="","",IF(COUNTIF(Account_Map!$A$6:$A$31,$B1126)&gt;0,"Mapped","UNMAPPED"))</x:f>
      </x:c>
    </x:row>
    <x:row r="1127">
      <x:c r="A1127" s="290"/>
      <x:c r="F1127" s="400"/>
      <x:c r="I1127" s="392"/>
      <x:c r="J1127" t="str">
        <x:f>IF($B1127="","",IF(COUNTIF(Account_Map!$A$6:$A$31,$B1127)&gt;0,"Mapped","UNMAPPED"))</x:f>
      </x:c>
    </x:row>
    <x:row r="1128">
      <x:c r="A1128" s="290"/>
      <x:c r="F1128" s="400"/>
      <x:c r="I1128" s="392"/>
      <x:c r="J1128" t="str">
        <x:f>IF($B1128="","",IF(COUNTIF(Account_Map!$A$6:$A$31,$B1128)&gt;0,"Mapped","UNMAPPED"))</x:f>
      </x:c>
    </x:row>
    <x:row r="1129">
      <x:c r="A1129" s="290"/>
      <x:c r="F1129" s="400"/>
      <x:c r="I1129" s="392"/>
      <x:c r="J1129" t="str">
        <x:f>IF($B1129="","",IF(COUNTIF(Account_Map!$A$6:$A$31,$B1129)&gt;0,"Mapped","UNMAPPED"))</x:f>
      </x:c>
    </x:row>
    <x:row r="1130">
      <x:c r="A1130" s="290"/>
      <x:c r="F1130" s="400"/>
      <x:c r="I1130" s="392"/>
      <x:c r="J1130" t="str">
        <x:f>IF($B1130="","",IF(COUNTIF(Account_Map!$A$6:$A$31,$B1130)&gt;0,"Mapped","UNMAPPED"))</x:f>
      </x:c>
    </x:row>
    <x:row r="1131">
      <x:c r="A1131" s="290"/>
      <x:c r="F1131" s="400"/>
      <x:c r="I1131" s="392"/>
      <x:c r="J1131" t="str">
        <x:f>IF($B1131="","",IF(COUNTIF(Account_Map!$A$6:$A$31,$B1131)&gt;0,"Mapped","UNMAPPED"))</x:f>
      </x:c>
    </x:row>
    <x:row r="1132">
      <x:c r="A1132" s="290"/>
      <x:c r="F1132" s="400"/>
      <x:c r="I1132" s="392"/>
      <x:c r="J1132" t="str">
        <x:f>IF($B1132="","",IF(COUNTIF(Account_Map!$A$6:$A$31,$B1132)&gt;0,"Mapped","UNMAPPED"))</x:f>
      </x:c>
    </x:row>
    <x:row r="1133">
      <x:c r="A1133" s="290"/>
      <x:c r="F1133" s="400"/>
      <x:c r="I1133" s="392"/>
      <x:c r="J1133" t="str">
        <x:f>IF($B1133="","",IF(COUNTIF(Account_Map!$A$6:$A$31,$B1133)&gt;0,"Mapped","UNMAPPED"))</x:f>
      </x:c>
    </x:row>
    <x:row r="1134">
      <x:c r="A1134" s="290"/>
      <x:c r="F1134" s="400"/>
      <x:c r="I1134" s="392"/>
      <x:c r="J1134" t="str">
        <x:f>IF($B1134="","",IF(COUNTIF(Account_Map!$A$6:$A$31,$B1134)&gt;0,"Mapped","UNMAPPED"))</x:f>
      </x:c>
    </x:row>
    <x:row r="1135">
      <x:c r="A1135" s="290"/>
      <x:c r="F1135" s="400"/>
      <x:c r="I1135" s="392"/>
      <x:c r="J1135" t="str">
        <x:f>IF($B1135="","",IF(COUNTIF(Account_Map!$A$6:$A$31,$B1135)&gt;0,"Mapped","UNMAPPED"))</x:f>
      </x:c>
    </x:row>
    <x:row r="1136">
      <x:c r="A1136" s="290"/>
      <x:c r="F1136" s="400"/>
      <x:c r="I1136" s="392"/>
      <x:c r="J1136" t="str">
        <x:f>IF($B1136="","",IF(COUNTIF(Account_Map!$A$6:$A$31,$B1136)&gt;0,"Mapped","UNMAPPED"))</x:f>
      </x:c>
    </x:row>
    <x:row r="1137">
      <x:c r="A1137" s="290"/>
      <x:c r="F1137" s="400"/>
      <x:c r="I1137" s="392"/>
      <x:c r="J1137" t="str">
        <x:f>IF($B1137="","",IF(COUNTIF(Account_Map!$A$6:$A$31,$B1137)&gt;0,"Mapped","UNMAPPED"))</x:f>
      </x:c>
    </x:row>
    <x:row r="1138">
      <x:c r="A1138" s="290"/>
      <x:c r="F1138" s="400"/>
      <x:c r="I1138" s="392"/>
      <x:c r="J1138" t="str">
        <x:f>IF($B1138="","",IF(COUNTIF(Account_Map!$A$6:$A$31,$B1138)&gt;0,"Mapped","UNMAPPED"))</x:f>
      </x:c>
    </x:row>
    <x:row r="1139">
      <x:c r="A1139" s="290"/>
      <x:c r="F1139" s="400"/>
      <x:c r="I1139" s="392"/>
      <x:c r="J1139" t="str">
        <x:f>IF($B1139="","",IF(COUNTIF(Account_Map!$A$6:$A$31,$B1139)&gt;0,"Mapped","UNMAPPED"))</x:f>
      </x:c>
    </x:row>
    <x:row r="1140">
      <x:c r="A1140" s="290"/>
      <x:c r="F1140" s="400"/>
      <x:c r="I1140" s="392"/>
      <x:c r="J1140" t="str">
        <x:f>IF($B1140="","",IF(COUNTIF(Account_Map!$A$6:$A$31,$B1140)&gt;0,"Mapped","UNMAPPED"))</x:f>
      </x:c>
    </x:row>
    <x:row r="1141">
      <x:c r="A1141" s="290"/>
      <x:c r="F1141" s="400"/>
      <x:c r="I1141" s="392"/>
      <x:c r="J1141" t="str">
        <x:f>IF($B1141="","",IF(COUNTIF(Account_Map!$A$6:$A$31,$B1141)&gt;0,"Mapped","UNMAPPED"))</x:f>
      </x:c>
    </x:row>
    <x:row r="1142">
      <x:c r="A1142" s="290"/>
      <x:c r="F1142" s="400"/>
      <x:c r="I1142" s="392"/>
      <x:c r="J1142" t="str">
        <x:f>IF($B1142="","",IF(COUNTIF(Account_Map!$A$6:$A$31,$B1142)&gt;0,"Mapped","UNMAPPED"))</x:f>
      </x:c>
    </x:row>
    <x:row r="1143">
      <x:c r="A1143" s="290"/>
      <x:c r="F1143" s="400"/>
      <x:c r="I1143" s="392"/>
      <x:c r="J1143" t="str">
        <x:f>IF($B1143="","",IF(COUNTIF(Account_Map!$A$6:$A$31,$B1143)&gt;0,"Mapped","UNMAPPED"))</x:f>
      </x:c>
    </x:row>
    <x:row r="1144">
      <x:c r="A1144" s="290"/>
      <x:c r="F1144" s="400"/>
      <x:c r="I1144" s="392"/>
      <x:c r="J1144" t="str">
        <x:f>IF($B1144="","",IF(COUNTIF(Account_Map!$A$6:$A$31,$B1144)&gt;0,"Mapped","UNMAPPED"))</x:f>
      </x:c>
    </x:row>
    <x:row r="1145">
      <x:c r="A1145" s="290"/>
      <x:c r="F1145" s="400"/>
      <x:c r="I1145" s="392"/>
      <x:c r="J1145" t="str">
        <x:f>IF($B1145="","",IF(COUNTIF(Account_Map!$A$6:$A$31,$B1145)&gt;0,"Mapped","UNMAPPED"))</x:f>
      </x:c>
    </x:row>
    <x:row r="1146">
      <x:c r="A1146" s="290"/>
      <x:c r="F1146" s="400"/>
      <x:c r="I1146" s="392"/>
      <x:c r="J1146" t="str">
        <x:f>IF($B1146="","",IF(COUNTIF(Account_Map!$A$6:$A$31,$B1146)&gt;0,"Mapped","UNMAPPED"))</x:f>
      </x:c>
    </x:row>
    <x:row r="1147">
      <x:c r="A1147" s="290"/>
      <x:c r="F1147" s="400"/>
      <x:c r="I1147" s="392"/>
      <x:c r="J1147" t="str">
        <x:f>IF($B1147="","",IF(COUNTIF(Account_Map!$A$6:$A$31,$B1147)&gt;0,"Mapped","UNMAPPED"))</x:f>
      </x:c>
    </x:row>
    <x:row r="1148">
      <x:c r="A1148" s="290"/>
      <x:c r="F1148" s="400"/>
      <x:c r="I1148" s="392"/>
      <x:c r="J1148" t="str">
        <x:f>IF($B1148="","",IF(COUNTIF(Account_Map!$A$6:$A$31,$B1148)&gt;0,"Mapped","UNMAPPED"))</x:f>
      </x:c>
    </x:row>
    <x:row r="1149">
      <x:c r="A1149" s="290"/>
      <x:c r="F1149" s="400"/>
      <x:c r="I1149" s="392"/>
      <x:c r="J1149" t="str">
        <x:f>IF($B1149="","",IF(COUNTIF(Account_Map!$A$6:$A$31,$B1149)&gt;0,"Mapped","UNMAPPED"))</x:f>
      </x:c>
    </x:row>
    <x:row r="1150">
      <x:c r="A1150" s="290"/>
      <x:c r="F1150" s="400"/>
      <x:c r="I1150" s="392"/>
      <x:c r="J1150" t="str">
        <x:f>IF($B1150="","",IF(COUNTIF(Account_Map!$A$6:$A$31,$B1150)&gt;0,"Mapped","UNMAPPED"))</x:f>
      </x:c>
    </x:row>
    <x:row r="1151">
      <x:c r="A1151" s="290"/>
      <x:c r="F1151" s="400"/>
      <x:c r="I1151" s="392"/>
      <x:c r="J1151" t="str">
        <x:f>IF($B1151="","",IF(COUNTIF(Account_Map!$A$6:$A$31,$B1151)&gt;0,"Mapped","UNMAPPED"))</x:f>
      </x:c>
    </x:row>
    <x:row r="1152">
      <x:c r="A1152" s="290"/>
      <x:c r="F1152" s="400"/>
      <x:c r="I1152" s="392"/>
      <x:c r="J1152" t="str">
        <x:f>IF($B1152="","",IF(COUNTIF(Account_Map!$A$6:$A$31,$B1152)&gt;0,"Mapped","UNMAPPED"))</x:f>
      </x:c>
    </x:row>
    <x:row r="1153">
      <x:c r="A1153" s="290"/>
      <x:c r="F1153" s="400"/>
      <x:c r="I1153" s="392"/>
      <x:c r="J1153" t="str">
        <x:f>IF($B1153="","",IF(COUNTIF(Account_Map!$A$6:$A$31,$B1153)&gt;0,"Mapped","UNMAPPED"))</x:f>
      </x:c>
    </x:row>
    <x:row r="1154">
      <x:c r="A1154" s="290"/>
      <x:c r="F1154" s="400"/>
      <x:c r="I1154" s="392"/>
      <x:c r="J1154" t="str">
        <x:f>IF($B1154="","",IF(COUNTIF(Account_Map!$A$6:$A$31,$B1154)&gt;0,"Mapped","UNMAPPED"))</x:f>
      </x:c>
    </x:row>
    <x:row r="1155">
      <x:c r="A1155" s="290"/>
      <x:c r="F1155" s="400"/>
      <x:c r="I1155" s="392"/>
      <x:c r="J1155" t="str">
        <x:f>IF($B1155="","",IF(COUNTIF(Account_Map!$A$6:$A$31,$B1155)&gt;0,"Mapped","UNMAPPED"))</x:f>
      </x:c>
    </x:row>
    <x:row r="1156">
      <x:c r="A1156" s="290"/>
      <x:c r="F1156" s="400"/>
      <x:c r="I1156" s="392"/>
      <x:c r="J1156" t="str">
        <x:f>IF($B1156="","",IF(COUNTIF(Account_Map!$A$6:$A$31,$B1156)&gt;0,"Mapped","UNMAPPED"))</x:f>
      </x:c>
    </x:row>
    <x:row r="1157">
      <x:c r="A1157" s="290"/>
      <x:c r="F1157" s="400"/>
      <x:c r="I1157" s="392"/>
      <x:c r="J1157" t="str">
        <x:f>IF($B1157="","",IF(COUNTIF(Account_Map!$A$6:$A$31,$B1157)&gt;0,"Mapped","UNMAPPED"))</x:f>
      </x:c>
    </x:row>
    <x:row r="1158">
      <x:c r="A1158" s="290"/>
      <x:c r="F1158" s="400"/>
      <x:c r="I1158" s="392"/>
      <x:c r="J1158" t="str">
        <x:f>IF($B1158="","",IF(COUNTIF(Account_Map!$A$6:$A$31,$B1158)&gt;0,"Mapped","UNMAPPED"))</x:f>
      </x:c>
    </x:row>
    <x:row r="1159">
      <x:c r="A1159" s="290"/>
      <x:c r="F1159" s="400"/>
      <x:c r="I1159" s="392"/>
      <x:c r="J1159" t="str">
        <x:f>IF($B1159="","",IF(COUNTIF(Account_Map!$A$6:$A$31,$B1159)&gt;0,"Mapped","UNMAPPED"))</x:f>
      </x:c>
    </x:row>
    <x:row r="1160">
      <x:c r="A1160" s="290"/>
      <x:c r="F1160" s="400"/>
      <x:c r="I1160" s="392"/>
      <x:c r="J1160" t="str">
        <x:f>IF($B1160="","",IF(COUNTIF(Account_Map!$A$6:$A$31,$B1160)&gt;0,"Mapped","UNMAPPED"))</x:f>
      </x:c>
    </x:row>
    <x:row r="1161">
      <x:c r="A1161" s="290"/>
      <x:c r="F1161" s="400"/>
      <x:c r="I1161" s="392"/>
      <x:c r="J1161" t="str">
        <x:f>IF($B1161="","",IF(COUNTIF(Account_Map!$A$6:$A$31,$B1161)&gt;0,"Mapped","UNMAPPED"))</x:f>
      </x:c>
    </x:row>
    <x:row r="1162">
      <x:c r="A1162" s="290"/>
      <x:c r="F1162" s="400"/>
      <x:c r="I1162" s="392"/>
      <x:c r="J1162" t="str">
        <x:f>IF($B1162="","",IF(COUNTIF(Account_Map!$A$6:$A$31,$B1162)&gt;0,"Mapped","UNMAPPED"))</x:f>
      </x:c>
    </x:row>
    <x:row r="1163">
      <x:c r="A1163" s="290"/>
      <x:c r="F1163" s="400"/>
      <x:c r="I1163" s="392"/>
      <x:c r="J1163" t="str">
        <x:f>IF($B1163="","",IF(COUNTIF(Account_Map!$A$6:$A$31,$B1163)&gt;0,"Mapped","UNMAPPED"))</x:f>
      </x:c>
    </x:row>
    <x:row r="1164">
      <x:c r="A1164" s="290"/>
      <x:c r="F1164" s="400"/>
      <x:c r="I1164" s="392"/>
      <x:c r="J1164" t="str">
        <x:f>IF($B1164="","",IF(COUNTIF(Account_Map!$A$6:$A$31,$B1164)&gt;0,"Mapped","UNMAPPED"))</x:f>
      </x:c>
    </x:row>
    <x:row r="1165">
      <x:c r="A1165" s="290"/>
      <x:c r="F1165" s="400"/>
      <x:c r="I1165" s="392"/>
      <x:c r="J1165" t="str">
        <x:f>IF($B1165="","",IF(COUNTIF(Account_Map!$A$6:$A$31,$B1165)&gt;0,"Mapped","UNMAPPED"))</x:f>
      </x:c>
    </x:row>
    <x:row r="1166">
      <x:c r="A1166" s="290"/>
      <x:c r="F1166" s="400"/>
      <x:c r="I1166" s="392"/>
      <x:c r="J1166" t="str">
        <x:f>IF($B1166="","",IF(COUNTIF(Account_Map!$A$6:$A$31,$B1166)&gt;0,"Mapped","UNMAPPED"))</x:f>
      </x:c>
    </x:row>
    <x:row r="1167">
      <x:c r="A1167" s="290"/>
      <x:c r="F1167" s="400"/>
      <x:c r="I1167" s="392"/>
      <x:c r="J1167" t="str">
        <x:f>IF($B1167="","",IF(COUNTIF(Account_Map!$A$6:$A$31,$B1167)&gt;0,"Mapped","UNMAPPED"))</x:f>
      </x:c>
    </x:row>
    <x:row r="1168">
      <x:c r="A1168" s="290"/>
      <x:c r="F1168" s="400"/>
      <x:c r="I1168" s="392"/>
      <x:c r="J1168" t="str">
        <x:f>IF($B1168="","",IF(COUNTIF(Account_Map!$A$6:$A$31,$B1168)&gt;0,"Mapped","UNMAPPED"))</x:f>
      </x:c>
    </x:row>
    <x:row r="1169">
      <x:c r="A1169" s="290"/>
      <x:c r="F1169" s="400"/>
      <x:c r="I1169" s="392"/>
      <x:c r="J1169" t="str">
        <x:f>IF($B1169="","",IF(COUNTIF(Account_Map!$A$6:$A$31,$B1169)&gt;0,"Mapped","UNMAPPED"))</x:f>
      </x:c>
    </x:row>
    <x:row r="1170">
      <x:c r="A1170" s="290"/>
      <x:c r="F1170" s="400"/>
      <x:c r="I1170" s="392"/>
      <x:c r="J1170" t="str">
        <x:f>IF($B1170="","",IF(COUNTIF(Account_Map!$A$6:$A$31,$B1170)&gt;0,"Mapped","UNMAPPED"))</x:f>
      </x:c>
    </x:row>
    <x:row r="1171">
      <x:c r="A1171" s="290"/>
      <x:c r="F1171" s="400"/>
      <x:c r="I1171" s="392"/>
      <x:c r="J1171" t="str">
        <x:f>IF($B1171="","",IF(COUNTIF(Account_Map!$A$6:$A$31,$B1171)&gt;0,"Mapped","UNMAPPED"))</x:f>
      </x:c>
    </x:row>
    <x:row r="1172">
      <x:c r="A1172" s="290"/>
      <x:c r="F1172" s="400"/>
      <x:c r="I1172" s="392"/>
      <x:c r="J1172" t="str">
        <x:f>IF($B1172="","",IF(COUNTIF(Account_Map!$A$6:$A$31,$B1172)&gt;0,"Mapped","UNMAPPED"))</x:f>
      </x:c>
    </x:row>
    <x:row r="1173">
      <x:c r="A1173" s="290"/>
      <x:c r="F1173" s="400"/>
      <x:c r="I1173" s="392"/>
      <x:c r="J1173" t="str">
        <x:f>IF($B1173="","",IF(COUNTIF(Account_Map!$A$6:$A$31,$B1173)&gt;0,"Mapped","UNMAPPED"))</x:f>
      </x:c>
    </x:row>
    <x:row r="1174">
      <x:c r="A1174" s="290"/>
      <x:c r="F1174" s="400"/>
      <x:c r="I1174" s="392"/>
      <x:c r="J1174" t="str">
        <x:f>IF($B1174="","",IF(COUNTIF(Account_Map!$A$6:$A$31,$B1174)&gt;0,"Mapped","UNMAPPED"))</x:f>
      </x:c>
    </x:row>
    <x:row r="1175">
      <x:c r="A1175" s="290"/>
      <x:c r="F1175" s="400"/>
      <x:c r="I1175" s="392"/>
      <x:c r="J1175" t="str">
        <x:f>IF($B1175="","",IF(COUNTIF(Account_Map!$A$6:$A$31,$B1175)&gt;0,"Mapped","UNMAPPED"))</x:f>
      </x:c>
    </x:row>
    <x:row r="1176">
      <x:c r="A1176" s="290"/>
      <x:c r="F1176" s="400"/>
      <x:c r="I1176" s="392"/>
      <x:c r="J1176" t="str">
        <x:f>IF($B1176="","",IF(COUNTIF(Account_Map!$A$6:$A$31,$B1176)&gt;0,"Mapped","UNMAPPED"))</x:f>
      </x:c>
    </x:row>
    <x:row r="1177">
      <x:c r="A1177" s="290"/>
      <x:c r="F1177" s="400"/>
      <x:c r="I1177" s="392"/>
      <x:c r="J1177" t="str">
        <x:f>IF($B1177="","",IF(COUNTIF(Account_Map!$A$6:$A$31,$B1177)&gt;0,"Mapped","UNMAPPED"))</x:f>
      </x:c>
    </x:row>
    <x:row r="1178">
      <x:c r="A1178" s="290"/>
      <x:c r="F1178" s="400"/>
      <x:c r="I1178" s="392"/>
      <x:c r="J1178" t="str">
        <x:f>IF($B1178="","",IF(COUNTIF(Account_Map!$A$6:$A$31,$B1178)&gt;0,"Mapped","UNMAPPED"))</x:f>
      </x:c>
    </x:row>
    <x:row r="1179">
      <x:c r="A1179" s="290"/>
      <x:c r="F1179" s="400"/>
      <x:c r="I1179" s="392"/>
      <x:c r="J1179" t="str">
        <x:f>IF($B1179="","",IF(COUNTIF(Account_Map!$A$6:$A$31,$B1179)&gt;0,"Mapped","UNMAPPED"))</x:f>
      </x:c>
    </x:row>
    <x:row r="1180">
      <x:c r="A1180" s="290"/>
      <x:c r="F1180" s="400"/>
      <x:c r="I1180" s="392"/>
      <x:c r="J1180" t="str">
        <x:f>IF($B1180="","",IF(COUNTIF(Account_Map!$A$6:$A$31,$B1180)&gt;0,"Mapped","UNMAPPED"))</x:f>
      </x:c>
    </x:row>
    <x:row r="1181">
      <x:c r="A1181" s="290"/>
      <x:c r="F1181" s="400"/>
      <x:c r="I1181" s="392"/>
      <x:c r="J1181" t="str">
        <x:f>IF($B1181="","",IF(COUNTIF(Account_Map!$A$6:$A$31,$B1181)&gt;0,"Mapped","UNMAPPED"))</x:f>
      </x:c>
    </x:row>
    <x:row r="1182">
      <x:c r="A1182" s="290"/>
      <x:c r="F1182" s="400"/>
      <x:c r="I1182" s="392"/>
      <x:c r="J1182" t="str">
        <x:f>IF($B1182="","",IF(COUNTIF(Account_Map!$A$6:$A$31,$B1182)&gt;0,"Mapped","UNMAPPED"))</x:f>
      </x:c>
    </x:row>
    <x:row r="1183">
      <x:c r="A1183" s="290"/>
      <x:c r="F1183" s="400"/>
      <x:c r="I1183" s="392"/>
      <x:c r="J1183" t="str">
        <x:f>IF($B1183="","",IF(COUNTIF(Account_Map!$A$6:$A$31,$B1183)&gt;0,"Mapped","UNMAPPED"))</x:f>
      </x:c>
    </x:row>
    <x:row r="1184">
      <x:c r="A1184" s="290"/>
      <x:c r="F1184" s="400"/>
      <x:c r="I1184" s="392"/>
      <x:c r="J1184" t="str">
        <x:f>IF($B1184="","",IF(COUNTIF(Account_Map!$A$6:$A$31,$B1184)&gt;0,"Mapped","UNMAPPED"))</x:f>
      </x:c>
    </x:row>
    <x:row r="1185">
      <x:c r="A1185" s="290"/>
      <x:c r="F1185" s="400"/>
      <x:c r="I1185" s="392"/>
      <x:c r="J1185" t="str">
        <x:f>IF($B1185="","",IF(COUNTIF(Account_Map!$A$6:$A$31,$B1185)&gt;0,"Mapped","UNMAPPED"))</x:f>
      </x:c>
    </x:row>
    <x:row r="1186">
      <x:c r="A1186" s="290"/>
      <x:c r="F1186" s="400"/>
      <x:c r="I1186" s="392"/>
      <x:c r="J1186" t="str">
        <x:f>IF($B1186="","",IF(COUNTIF(Account_Map!$A$6:$A$31,$B1186)&gt;0,"Mapped","UNMAPPED"))</x:f>
      </x:c>
    </x:row>
    <x:row r="1187">
      <x:c r="A1187" s="290"/>
      <x:c r="F1187" s="400"/>
      <x:c r="I1187" s="392"/>
      <x:c r="J1187" t="str">
        <x:f>IF($B1187="","",IF(COUNTIF(Account_Map!$A$6:$A$31,$B1187)&gt;0,"Mapped","UNMAPPED"))</x:f>
      </x:c>
    </x:row>
    <x:row r="1188">
      <x:c r="A1188" s="290"/>
      <x:c r="F1188" s="400"/>
      <x:c r="I1188" s="392"/>
      <x:c r="J1188" t="str">
        <x:f>IF($B1188="","",IF(COUNTIF(Account_Map!$A$6:$A$31,$B1188)&gt;0,"Mapped","UNMAPPED"))</x:f>
      </x:c>
    </x:row>
    <x:row r="1189">
      <x:c r="A1189" s="290"/>
      <x:c r="F1189" s="400"/>
      <x:c r="I1189" s="392"/>
      <x:c r="J1189" t="str">
        <x:f>IF($B1189="","",IF(COUNTIF(Account_Map!$A$6:$A$31,$B1189)&gt;0,"Mapped","UNMAPPED"))</x:f>
      </x:c>
    </x:row>
    <x:row r="1190">
      <x:c r="A1190" s="290"/>
      <x:c r="F1190" s="400"/>
      <x:c r="I1190" s="392"/>
      <x:c r="J1190" t="str">
        <x:f>IF($B1190="","",IF(COUNTIF(Account_Map!$A$6:$A$31,$B1190)&gt;0,"Mapped","UNMAPPED"))</x:f>
      </x:c>
    </x:row>
    <x:row r="1191">
      <x:c r="A1191" s="290"/>
      <x:c r="F1191" s="400"/>
      <x:c r="I1191" s="392"/>
      <x:c r="J1191" t="str">
        <x:f>IF($B1191="","",IF(COUNTIF(Account_Map!$A$6:$A$31,$B1191)&gt;0,"Mapped","UNMAPPED"))</x:f>
      </x:c>
    </x:row>
    <x:row r="1192">
      <x:c r="A1192" s="290"/>
      <x:c r="F1192" s="400"/>
      <x:c r="I1192" s="392"/>
      <x:c r="J1192" t="str">
        <x:f>IF($B1192="","",IF(COUNTIF(Account_Map!$A$6:$A$31,$B1192)&gt;0,"Mapped","UNMAPPED"))</x:f>
      </x:c>
    </x:row>
    <x:row r="1193">
      <x:c r="A1193" s="290"/>
      <x:c r="F1193" s="400"/>
      <x:c r="I1193" s="392"/>
      <x:c r="J1193" t="str">
        <x:f>IF($B1193="","",IF(COUNTIF(Account_Map!$A$6:$A$31,$B1193)&gt;0,"Mapped","UNMAPPED"))</x:f>
      </x:c>
    </x:row>
    <x:row r="1194">
      <x:c r="A1194" s="290"/>
      <x:c r="F1194" s="400"/>
      <x:c r="I1194" s="392"/>
      <x:c r="J1194" t="str">
        <x:f>IF($B1194="","",IF(COUNTIF(Account_Map!$A$6:$A$31,$B1194)&gt;0,"Mapped","UNMAPPED"))</x:f>
      </x:c>
    </x:row>
    <x:row r="1195">
      <x:c r="A1195" s="290"/>
      <x:c r="F1195" s="400"/>
      <x:c r="I1195" s="392"/>
      <x:c r="J1195" t="str">
        <x:f>IF($B1195="","",IF(COUNTIF(Account_Map!$A$6:$A$31,$B1195)&gt;0,"Mapped","UNMAPPED"))</x:f>
      </x:c>
    </x:row>
    <x:row r="1196">
      <x:c r="A1196" s="290"/>
      <x:c r="F1196" s="400"/>
      <x:c r="I1196" s="392"/>
      <x:c r="J1196" t="str">
        <x:f>IF($B1196="","",IF(COUNTIF(Account_Map!$A$6:$A$31,$B1196)&gt;0,"Mapped","UNMAPPED"))</x:f>
      </x:c>
    </x:row>
    <x:row r="1197">
      <x:c r="A1197" s="290"/>
      <x:c r="F1197" s="400"/>
      <x:c r="I1197" s="392"/>
      <x:c r="J1197" t="str">
        <x:f>IF($B1197="","",IF(COUNTIF(Account_Map!$A$6:$A$31,$B1197)&gt;0,"Mapped","UNMAPPED"))</x:f>
      </x:c>
    </x:row>
    <x:row r="1198">
      <x:c r="A1198" s="290"/>
      <x:c r="F1198" s="400"/>
      <x:c r="I1198" s="392"/>
      <x:c r="J1198" t="str">
        <x:f>IF($B1198="","",IF(COUNTIF(Account_Map!$A$6:$A$31,$B1198)&gt;0,"Mapped","UNMAPPED"))</x:f>
      </x:c>
    </x:row>
    <x:row r="1199">
      <x:c r="A1199" s="290"/>
      <x:c r="F1199" s="400"/>
      <x:c r="I1199" s="392"/>
      <x:c r="J1199" t="str">
        <x:f>IF($B1199="","",IF(COUNTIF(Account_Map!$A$6:$A$31,$B1199)&gt;0,"Mapped","UNMAPPED"))</x:f>
      </x:c>
    </x:row>
    <x:row r="1200">
      <x:c r="A1200" s="290"/>
      <x:c r="F1200" s="400"/>
      <x:c r="I1200" s="392"/>
      <x:c r="J1200" t="str">
        <x:f>IF($B1200="","",IF(COUNTIF(Account_Map!$A$6:$A$31,$B1200)&gt;0,"Mapped","UNMAPPED"))</x:f>
      </x:c>
    </x:row>
    <x:row r="1201">
      <x:c r="A1201" s="290"/>
      <x:c r="F1201" s="400"/>
      <x:c r="I1201" s="392"/>
      <x:c r="J1201" t="str">
        <x:f>IF($B1201="","",IF(COUNTIF(Account_Map!$A$6:$A$31,$B1201)&gt;0,"Mapped","UNMAPPED"))</x:f>
      </x:c>
    </x:row>
    <x:row r="1202">
      <x:c r="A1202" s="290"/>
      <x:c r="F1202" s="400"/>
      <x:c r="I1202" s="392"/>
      <x:c r="J1202" t="str">
        <x:f>IF($B1202="","",IF(COUNTIF(Account_Map!$A$6:$A$31,$B1202)&gt;0,"Mapped","UNMAPPED"))</x:f>
      </x:c>
    </x:row>
    <x:row r="1203">
      <x:c r="A1203" s="290"/>
      <x:c r="F1203" s="400"/>
      <x:c r="I1203" s="392"/>
      <x:c r="J1203" t="str">
        <x:f>IF($B1203="","",IF(COUNTIF(Account_Map!$A$6:$A$31,$B1203)&gt;0,"Mapped","UNMAPPED"))</x:f>
      </x:c>
    </x:row>
    <x:row r="1204">
      <x:c r="A1204" s="290"/>
      <x:c r="F1204" s="400"/>
      <x:c r="I1204" s="392"/>
      <x:c r="J1204" t="str">
        <x:f>IF($B1204="","",IF(COUNTIF(Account_Map!$A$6:$A$31,$B1204)&gt;0,"Mapped","UNMAPPED"))</x:f>
      </x:c>
    </x:row>
    <x:row r="1205">
      <x:c r="A1205" s="290"/>
      <x:c r="F1205" s="400"/>
      <x:c r="I1205" s="392"/>
      <x:c r="J1205" t="str">
        <x:f>IF($B1205="","",IF(COUNTIF(Account_Map!$A$6:$A$31,$B1205)&gt;0,"Mapped","UNMAPPED"))</x:f>
      </x:c>
    </x:row>
    <x:row r="1206">
      <x:c r="A1206" s="290"/>
      <x:c r="F1206" s="400"/>
      <x:c r="I1206" s="392"/>
      <x:c r="J1206" t="str">
        <x:f>IF($B1206="","",IF(COUNTIF(Account_Map!$A$6:$A$31,$B1206)&gt;0,"Mapped","UNMAPPED"))</x:f>
      </x:c>
    </x:row>
    <x:row r="1207">
      <x:c r="A1207" s="290"/>
      <x:c r="F1207" s="400"/>
      <x:c r="I1207" s="392"/>
      <x:c r="J1207" t="str">
        <x:f>IF($B1207="","",IF(COUNTIF(Account_Map!$A$6:$A$31,$B1207)&gt;0,"Mapped","UNMAPPED"))</x:f>
      </x:c>
    </x:row>
    <x:row r="1208">
      <x:c r="A1208" s="290"/>
      <x:c r="F1208" s="400"/>
      <x:c r="I1208" s="392"/>
      <x:c r="J1208" t="str">
        <x:f>IF($B1208="","",IF(COUNTIF(Account_Map!$A$6:$A$31,$B1208)&gt;0,"Mapped","UNMAPPED"))</x:f>
      </x:c>
    </x:row>
    <x:row r="1209">
      <x:c r="A1209" s="290"/>
      <x:c r="F1209" s="400"/>
      <x:c r="I1209" s="392"/>
      <x:c r="J1209" t="str">
        <x:f>IF($B1209="","",IF(COUNTIF(Account_Map!$A$6:$A$31,$B1209)&gt;0,"Mapped","UNMAPPED"))</x:f>
      </x:c>
    </x:row>
    <x:row r="1210">
      <x:c r="A1210" s="290"/>
      <x:c r="F1210" s="400"/>
      <x:c r="I1210" s="392"/>
      <x:c r="J1210" t="str">
        <x:f>IF($B1210="","",IF(COUNTIF(Account_Map!$A$6:$A$31,$B1210)&gt;0,"Mapped","UNMAPPED"))</x:f>
      </x:c>
    </x:row>
    <x:row r="1211">
      <x:c r="A1211" s="290"/>
      <x:c r="F1211" s="400"/>
      <x:c r="I1211" s="392"/>
      <x:c r="J1211" t="str">
        <x:f>IF($B1211="","",IF(COUNTIF(Account_Map!$A$6:$A$31,$B1211)&gt;0,"Mapped","UNMAPPED"))</x:f>
      </x:c>
    </x:row>
    <x:row r="1212">
      <x:c r="A1212" s="290"/>
      <x:c r="F1212" s="400"/>
      <x:c r="I1212" s="392"/>
      <x:c r="J1212" t="str">
        <x:f>IF($B1212="","",IF(COUNTIF(Account_Map!$A$6:$A$31,$B1212)&gt;0,"Mapped","UNMAPPED"))</x:f>
      </x:c>
    </x:row>
    <x:row r="1213">
      <x:c r="A1213" s="290"/>
      <x:c r="F1213" s="400"/>
      <x:c r="I1213" s="392"/>
      <x:c r="J1213" t="str">
        <x:f>IF($B1213="","",IF(COUNTIF(Account_Map!$A$6:$A$31,$B1213)&gt;0,"Mapped","UNMAPPED"))</x:f>
      </x:c>
    </x:row>
    <x:row r="1214">
      <x:c r="A1214" s="290"/>
      <x:c r="F1214" s="400"/>
      <x:c r="I1214" s="392"/>
      <x:c r="J1214" t="str">
        <x:f>IF($B1214="","",IF(COUNTIF(Account_Map!$A$6:$A$31,$B1214)&gt;0,"Mapped","UNMAPPED"))</x:f>
      </x:c>
    </x:row>
    <x:row r="1215">
      <x:c r="A1215" s="290"/>
      <x:c r="F1215" s="400"/>
      <x:c r="I1215" s="392"/>
      <x:c r="J1215" t="str">
        <x:f>IF($B1215="","",IF(COUNTIF(Account_Map!$A$6:$A$31,$B1215)&gt;0,"Mapped","UNMAPPED"))</x:f>
      </x:c>
    </x:row>
    <x:row r="1216">
      <x:c r="A1216" s="290"/>
      <x:c r="F1216" s="400"/>
      <x:c r="I1216" s="392"/>
      <x:c r="J1216" t="str">
        <x:f>IF($B1216="","",IF(COUNTIF(Account_Map!$A$6:$A$31,$B1216)&gt;0,"Mapped","UNMAPPED"))</x:f>
      </x:c>
    </x:row>
    <x:row r="1217">
      <x:c r="A1217" s="290"/>
      <x:c r="F1217" s="400"/>
      <x:c r="I1217" s="392"/>
      <x:c r="J1217" t="str">
        <x:f>IF($B1217="","",IF(COUNTIF(Account_Map!$A$6:$A$31,$B1217)&gt;0,"Mapped","UNMAPPED"))</x:f>
      </x:c>
    </x:row>
    <x:row r="1218">
      <x:c r="A1218" s="290"/>
      <x:c r="F1218" s="400"/>
      <x:c r="I1218" s="392"/>
      <x:c r="J1218" t="str">
        <x:f>IF($B1218="","",IF(COUNTIF(Account_Map!$A$6:$A$31,$B1218)&gt;0,"Mapped","UNMAPPED"))</x:f>
      </x:c>
    </x:row>
    <x:row r="1219">
      <x:c r="A1219" s="290"/>
      <x:c r="F1219" s="400"/>
      <x:c r="I1219" s="392"/>
      <x:c r="J1219" t="str">
        <x:f>IF($B1219="","",IF(COUNTIF(Account_Map!$A$6:$A$31,$B1219)&gt;0,"Mapped","UNMAPPED"))</x:f>
      </x:c>
    </x:row>
    <x:row r="1220">
      <x:c r="A1220" s="290"/>
      <x:c r="F1220" s="400"/>
      <x:c r="I1220" s="392"/>
      <x:c r="J1220" t="str">
        <x:f>IF($B1220="","",IF(COUNTIF(Account_Map!$A$6:$A$31,$B1220)&gt;0,"Mapped","UNMAPPED"))</x:f>
      </x:c>
    </x:row>
    <x:row r="1221">
      <x:c r="A1221" s="290"/>
      <x:c r="F1221" s="400"/>
      <x:c r="I1221" s="392"/>
      <x:c r="J1221" t="str">
        <x:f>IF($B1221="","",IF(COUNTIF(Account_Map!$A$6:$A$31,$B1221)&gt;0,"Mapped","UNMAPPED"))</x:f>
      </x:c>
    </x:row>
    <x:row r="1222">
      <x:c r="A1222" s="290"/>
      <x:c r="F1222" s="400"/>
      <x:c r="I1222" s="392"/>
      <x:c r="J1222" t="str">
        <x:f>IF($B1222="","",IF(COUNTIF(Account_Map!$A$6:$A$31,$B1222)&gt;0,"Mapped","UNMAPPED"))</x:f>
      </x:c>
    </x:row>
    <x:row r="1223">
      <x:c r="A1223" s="290"/>
      <x:c r="F1223" s="400"/>
      <x:c r="I1223" s="392"/>
      <x:c r="J1223" t="str">
        <x:f>IF($B1223="","",IF(COUNTIF(Account_Map!$A$6:$A$31,$B1223)&gt;0,"Mapped","UNMAPPED"))</x:f>
      </x:c>
    </x:row>
    <x:row r="1224">
      <x:c r="A1224" s="290"/>
      <x:c r="F1224" s="400"/>
      <x:c r="I1224" s="392"/>
      <x:c r="J1224" t="str">
        <x:f>IF($B1224="","",IF(COUNTIF(Account_Map!$A$6:$A$31,$B1224)&gt;0,"Mapped","UNMAPPED"))</x:f>
      </x:c>
    </x:row>
    <x:row r="1225">
      <x:c r="A1225" s="290"/>
      <x:c r="F1225" s="400"/>
      <x:c r="I1225" s="392"/>
      <x:c r="J1225" t="str">
        <x:f>IF($B1225="","",IF(COUNTIF(Account_Map!$A$6:$A$31,$B1225)&gt;0,"Mapped","UNMAPPED"))</x:f>
      </x:c>
    </x:row>
    <x:row r="1226">
      <x:c r="A1226" s="290"/>
      <x:c r="F1226" s="400"/>
      <x:c r="I1226" s="392"/>
      <x:c r="J1226" t="str">
        <x:f>IF($B1226="","",IF(COUNTIF(Account_Map!$A$6:$A$31,$B1226)&gt;0,"Mapped","UNMAPPED"))</x:f>
      </x:c>
    </x:row>
    <x:row r="1227">
      <x:c r="A1227" s="290"/>
      <x:c r="F1227" s="400"/>
      <x:c r="I1227" s="392"/>
      <x:c r="J1227" t="str">
        <x:f>IF($B1227="","",IF(COUNTIF(Account_Map!$A$6:$A$31,$B1227)&gt;0,"Mapped","UNMAPPED"))</x:f>
      </x:c>
    </x:row>
    <x:row r="1228">
      <x:c r="A1228" s="290"/>
      <x:c r="F1228" s="400"/>
      <x:c r="I1228" s="392"/>
      <x:c r="J1228" t="str">
        <x:f>IF($B1228="","",IF(COUNTIF(Account_Map!$A$6:$A$31,$B1228)&gt;0,"Mapped","UNMAPPED"))</x:f>
      </x:c>
    </x:row>
    <x:row r="1229">
      <x:c r="A1229" s="290"/>
      <x:c r="F1229" s="400"/>
      <x:c r="I1229" s="392"/>
      <x:c r="J1229" t="str">
        <x:f>IF($B1229="","",IF(COUNTIF(Account_Map!$A$6:$A$31,$B1229)&gt;0,"Mapped","UNMAPPED"))</x:f>
      </x:c>
    </x:row>
    <x:row r="1230">
      <x:c r="A1230" s="290"/>
      <x:c r="F1230" s="400"/>
      <x:c r="I1230" s="392"/>
      <x:c r="J1230" t="str">
        <x:f>IF($B1230="","",IF(COUNTIF(Account_Map!$A$6:$A$31,$B1230)&gt;0,"Mapped","UNMAPPED"))</x:f>
      </x:c>
    </x:row>
    <x:row r="1231">
      <x:c r="A1231" s="290"/>
      <x:c r="F1231" s="400"/>
      <x:c r="I1231" s="392"/>
      <x:c r="J1231" t="str">
        <x:f>IF($B1231="","",IF(COUNTIF(Account_Map!$A$6:$A$31,$B1231)&gt;0,"Mapped","UNMAPPED"))</x:f>
      </x:c>
    </x:row>
    <x:row r="1232">
      <x:c r="A1232" s="290"/>
      <x:c r="F1232" s="400"/>
      <x:c r="I1232" s="392"/>
      <x:c r="J1232" t="str">
        <x:f>IF($B1232="","",IF(COUNTIF(Account_Map!$A$6:$A$31,$B1232)&gt;0,"Mapped","UNMAPPED"))</x:f>
      </x:c>
    </x:row>
    <x:row r="1233">
      <x:c r="A1233" s="290"/>
      <x:c r="F1233" s="400"/>
      <x:c r="I1233" s="392"/>
      <x:c r="J1233" t="str">
        <x:f>IF($B1233="","",IF(COUNTIF(Account_Map!$A$6:$A$31,$B1233)&gt;0,"Mapped","UNMAPPED"))</x:f>
      </x:c>
    </x:row>
    <x:row r="1234">
      <x:c r="A1234" s="290"/>
      <x:c r="F1234" s="400"/>
      <x:c r="I1234" s="392"/>
      <x:c r="J1234" t="str">
        <x:f>IF($B1234="","",IF(COUNTIF(Account_Map!$A$6:$A$31,$B1234)&gt;0,"Mapped","UNMAPPED"))</x:f>
      </x:c>
    </x:row>
    <x:row r="1235">
      <x:c r="A1235" s="290"/>
      <x:c r="F1235" s="400"/>
      <x:c r="I1235" s="392"/>
      <x:c r="J1235" t="str">
        <x:f>IF($B1235="","",IF(COUNTIF(Account_Map!$A$6:$A$31,$B1235)&gt;0,"Mapped","UNMAPPED"))</x:f>
      </x:c>
    </x:row>
    <x:row r="1236">
      <x:c r="A1236" s="290"/>
      <x:c r="F1236" s="400"/>
      <x:c r="I1236" s="392"/>
      <x:c r="J1236" t="str">
        <x:f>IF($B1236="","",IF(COUNTIF(Account_Map!$A$6:$A$31,$B1236)&gt;0,"Mapped","UNMAPPED"))</x:f>
      </x:c>
    </x:row>
    <x:row r="1237">
      <x:c r="A1237" s="290"/>
      <x:c r="F1237" s="400"/>
      <x:c r="I1237" s="392"/>
      <x:c r="J1237" t="str">
        <x:f>IF($B1237="","",IF(COUNTIF(Account_Map!$A$6:$A$31,$B1237)&gt;0,"Mapped","UNMAPPED"))</x:f>
      </x:c>
    </x:row>
    <x:row r="1238">
      <x:c r="A1238" s="290"/>
      <x:c r="F1238" s="400"/>
      <x:c r="I1238" s="392"/>
      <x:c r="J1238" t="str">
        <x:f>IF($B1238="","",IF(COUNTIF(Account_Map!$A$6:$A$31,$B1238)&gt;0,"Mapped","UNMAPPED"))</x:f>
      </x:c>
    </x:row>
    <x:row r="1239">
      <x:c r="A1239" s="290"/>
      <x:c r="F1239" s="400"/>
      <x:c r="I1239" s="392"/>
      <x:c r="J1239" t="str">
        <x:f>IF($B1239="","",IF(COUNTIF(Account_Map!$A$6:$A$31,$B1239)&gt;0,"Mapped","UNMAPPED"))</x:f>
      </x:c>
    </x:row>
    <x:row r="1240">
      <x:c r="A1240" s="290"/>
      <x:c r="F1240" s="400"/>
      <x:c r="I1240" s="392"/>
      <x:c r="J1240" t="str">
        <x:f>IF($B1240="","",IF(COUNTIF(Account_Map!$A$6:$A$31,$B1240)&gt;0,"Mapped","UNMAPPED"))</x:f>
      </x:c>
    </x:row>
    <x:row r="1241">
      <x:c r="A1241" s="290"/>
      <x:c r="F1241" s="400"/>
      <x:c r="I1241" s="392"/>
      <x:c r="J1241" t="str">
        <x:f>IF($B1241="","",IF(COUNTIF(Account_Map!$A$6:$A$31,$B1241)&gt;0,"Mapped","UNMAPPED"))</x:f>
      </x:c>
    </x:row>
    <x:row r="1242">
      <x:c r="A1242" s="290"/>
      <x:c r="F1242" s="400"/>
      <x:c r="I1242" s="392"/>
      <x:c r="J1242" t="str">
        <x:f>IF($B1242="","",IF(COUNTIF(Account_Map!$A$6:$A$31,$B1242)&gt;0,"Mapped","UNMAPPED"))</x:f>
      </x:c>
    </x:row>
    <x:row r="1243">
      <x:c r="A1243" s="290"/>
      <x:c r="F1243" s="400"/>
      <x:c r="I1243" s="392"/>
      <x:c r="J1243" t="str">
        <x:f>IF($B1243="","",IF(COUNTIF(Account_Map!$A$6:$A$31,$B1243)&gt;0,"Mapped","UNMAPPED"))</x:f>
      </x:c>
    </x:row>
    <x:row r="1244">
      <x:c r="A1244" s="290"/>
      <x:c r="F1244" s="400"/>
      <x:c r="I1244" s="392"/>
      <x:c r="J1244" t="str">
        <x:f>IF($B1244="","",IF(COUNTIF(Account_Map!$A$6:$A$31,$B1244)&gt;0,"Mapped","UNMAPPED"))</x:f>
      </x:c>
    </x:row>
    <x:row r="1245">
      <x:c r="A1245" s="290"/>
      <x:c r="F1245" s="400"/>
      <x:c r="I1245" s="392"/>
      <x:c r="J1245" t="str">
        <x:f>IF($B1245="","",IF(COUNTIF(Account_Map!$A$6:$A$31,$B1245)&gt;0,"Mapped","UNMAPPED"))</x:f>
      </x:c>
    </x:row>
    <x:row r="1246">
      <x:c r="A1246" s="290"/>
      <x:c r="F1246" s="400"/>
      <x:c r="I1246" s="392"/>
      <x:c r="J1246" t="str">
        <x:f>IF($B1246="","",IF(COUNTIF(Account_Map!$A$6:$A$31,$B1246)&gt;0,"Mapped","UNMAPPED"))</x:f>
      </x:c>
    </x:row>
    <x:row r="1247">
      <x:c r="A1247" s="290"/>
      <x:c r="F1247" s="400"/>
      <x:c r="I1247" s="392"/>
      <x:c r="J1247" t="str">
        <x:f>IF($B1247="","",IF(COUNTIF(Account_Map!$A$6:$A$31,$B1247)&gt;0,"Mapped","UNMAPPED"))</x:f>
      </x:c>
    </x:row>
    <x:row r="1248">
      <x:c r="A1248" s="290"/>
      <x:c r="F1248" s="400"/>
      <x:c r="I1248" s="392"/>
      <x:c r="J1248" t="str">
        <x:f>IF($B1248="","",IF(COUNTIF(Account_Map!$A$6:$A$31,$B1248)&gt;0,"Mapped","UNMAPPED"))</x:f>
      </x:c>
    </x:row>
    <x:row r="1249">
      <x:c r="A1249" s="290"/>
      <x:c r="F1249" s="400"/>
      <x:c r="I1249" s="392"/>
      <x:c r="J1249" t="str">
        <x:f>IF($B1249="","",IF(COUNTIF(Account_Map!$A$6:$A$31,$B1249)&gt;0,"Mapped","UNMAPPED"))</x:f>
      </x:c>
    </x:row>
    <x:row r="1250">
      <x:c r="A1250" s="290"/>
      <x:c r="F1250" s="400"/>
      <x:c r="I1250" s="392"/>
      <x:c r="J1250" t="str">
        <x:f>IF($B1250="","",IF(COUNTIF(Account_Map!$A$6:$A$31,$B1250)&gt;0,"Mapped","UNMAPPED"))</x:f>
      </x:c>
    </x:row>
    <x:row r="1251">
      <x:c r="A1251" s="290"/>
      <x:c r="F1251" s="400"/>
      <x:c r="I1251" s="392"/>
      <x:c r="J1251" t="str">
        <x:f>IF($B1251="","",IF(COUNTIF(Account_Map!$A$6:$A$31,$B1251)&gt;0,"Mapped","UNMAPPED"))</x:f>
      </x:c>
    </x:row>
    <x:row r="1252">
      <x:c r="A1252" s="290"/>
      <x:c r="F1252" s="400"/>
      <x:c r="I1252" s="392"/>
      <x:c r="J1252" t="str">
        <x:f>IF($B1252="","",IF(COUNTIF(Account_Map!$A$6:$A$31,$B1252)&gt;0,"Mapped","UNMAPPED"))</x:f>
      </x:c>
    </x:row>
    <x:row r="1253">
      <x:c r="A1253" s="290"/>
      <x:c r="F1253" s="400"/>
      <x:c r="I1253" s="392"/>
      <x:c r="J1253" t="str">
        <x:f>IF($B1253="","",IF(COUNTIF(Account_Map!$A$6:$A$31,$B1253)&gt;0,"Mapped","UNMAPPED"))</x:f>
      </x:c>
    </x:row>
    <x:row r="1254">
      <x:c r="A1254" s="290"/>
      <x:c r="F1254" s="400"/>
      <x:c r="I1254" s="392"/>
      <x:c r="J1254" t="str">
        <x:f>IF($B1254="","",IF(COUNTIF(Account_Map!$A$6:$A$31,$B1254)&gt;0,"Mapped","UNMAPPED"))</x:f>
      </x:c>
    </x:row>
    <x:row r="1255">
      <x:c r="A1255" s="290"/>
      <x:c r="F1255" s="400"/>
      <x:c r="I1255" s="392"/>
      <x:c r="J1255" t="str">
        <x:f>IF($B1255="","",IF(COUNTIF(Account_Map!$A$6:$A$31,$B1255)&gt;0,"Mapped","UNMAPPED"))</x:f>
      </x:c>
    </x:row>
    <x:row r="1256">
      <x:c r="A1256" s="290"/>
      <x:c r="F1256" s="400"/>
      <x:c r="I1256" s="392"/>
      <x:c r="J1256" t="str">
        <x:f>IF($B1256="","",IF(COUNTIF(Account_Map!$A$6:$A$31,$B1256)&gt;0,"Mapped","UNMAPPED"))</x:f>
      </x:c>
    </x:row>
    <x:row r="1257">
      <x:c r="A1257" s="290"/>
      <x:c r="F1257" s="400"/>
      <x:c r="I1257" s="392"/>
      <x:c r="J1257" t="str">
        <x:f>IF($B1257="","",IF(COUNTIF(Account_Map!$A$6:$A$31,$B1257)&gt;0,"Mapped","UNMAPPED"))</x:f>
      </x:c>
    </x:row>
    <x:row r="1258">
      <x:c r="A1258" s="290"/>
      <x:c r="F1258" s="400"/>
      <x:c r="I1258" s="392"/>
      <x:c r="J1258" t="str">
        <x:f>IF($B1258="","",IF(COUNTIF(Account_Map!$A$6:$A$31,$B1258)&gt;0,"Mapped","UNMAPPED"))</x:f>
      </x:c>
    </x:row>
    <x:row r="1259">
      <x:c r="A1259" s="290"/>
      <x:c r="F1259" s="400"/>
      <x:c r="I1259" s="392"/>
      <x:c r="J1259" t="str">
        <x:f>IF($B1259="","",IF(COUNTIF(Account_Map!$A$6:$A$31,$B1259)&gt;0,"Mapped","UNMAPPED"))</x:f>
      </x:c>
    </x:row>
    <x:row r="1260">
      <x:c r="A1260" s="290"/>
      <x:c r="F1260" s="400"/>
      <x:c r="I1260" s="392"/>
      <x:c r="J1260" t="str">
        <x:f>IF($B1260="","",IF(COUNTIF(Account_Map!$A$6:$A$31,$B1260)&gt;0,"Mapped","UNMAPPED"))</x:f>
      </x:c>
    </x:row>
    <x:row r="1261">
      <x:c r="A1261" s="290"/>
      <x:c r="F1261" s="400"/>
      <x:c r="I1261" s="392"/>
      <x:c r="J1261" t="str">
        <x:f>IF($B1261="","",IF(COUNTIF(Account_Map!$A$6:$A$31,$B1261)&gt;0,"Mapped","UNMAPPED"))</x:f>
      </x:c>
    </x:row>
    <x:row r="1262">
      <x:c r="A1262" s="290"/>
      <x:c r="F1262" s="400"/>
      <x:c r="I1262" s="392"/>
      <x:c r="J1262" t="str">
        <x:f>IF($B1262="","",IF(COUNTIF(Account_Map!$A$6:$A$31,$B1262)&gt;0,"Mapped","UNMAPPED"))</x:f>
      </x:c>
    </x:row>
    <x:row r="1263">
      <x:c r="A1263" s="290"/>
      <x:c r="F1263" s="400"/>
      <x:c r="I1263" s="392"/>
      <x:c r="J1263" t="str">
        <x:f>IF($B1263="","",IF(COUNTIF(Account_Map!$A$6:$A$31,$B1263)&gt;0,"Mapped","UNMAPPED"))</x:f>
      </x:c>
    </x:row>
    <x:row r="1264">
      <x:c r="A1264" s="290"/>
      <x:c r="F1264" s="400"/>
      <x:c r="I1264" s="392"/>
      <x:c r="J1264" t="str">
        <x:f>IF($B1264="","",IF(COUNTIF(Account_Map!$A$6:$A$31,$B1264)&gt;0,"Mapped","UNMAPPED"))</x:f>
      </x:c>
    </x:row>
    <x:row r="1265">
      <x:c r="A1265" s="290"/>
      <x:c r="F1265" s="400"/>
      <x:c r="I1265" s="392"/>
      <x:c r="J1265" t="str">
        <x:f>IF($B1265="","",IF(COUNTIF(Account_Map!$A$6:$A$31,$B1265)&gt;0,"Mapped","UNMAPPED"))</x:f>
      </x:c>
    </x:row>
    <x:row r="1266">
      <x:c r="A1266" s="290"/>
      <x:c r="F1266" s="400"/>
      <x:c r="I1266" s="392"/>
      <x:c r="J1266" t="str">
        <x:f>IF($B1266="","",IF(COUNTIF(Account_Map!$A$6:$A$31,$B1266)&gt;0,"Mapped","UNMAPPED"))</x:f>
      </x:c>
    </x:row>
    <x:row r="1267">
      <x:c r="A1267" s="290"/>
      <x:c r="F1267" s="400"/>
      <x:c r="I1267" s="392"/>
      <x:c r="J1267" t="str">
        <x:f>IF($B1267="","",IF(COUNTIF(Account_Map!$A$6:$A$31,$B1267)&gt;0,"Mapped","UNMAPPED"))</x:f>
      </x:c>
    </x:row>
    <x:row r="1268">
      <x:c r="A1268" s="290"/>
      <x:c r="F1268" s="400"/>
      <x:c r="I1268" s="392"/>
      <x:c r="J1268" t="str">
        <x:f>IF($B1268="","",IF(COUNTIF(Account_Map!$A$6:$A$31,$B1268)&gt;0,"Mapped","UNMAPPED"))</x:f>
      </x:c>
    </x:row>
    <x:row r="1269">
      <x:c r="A1269" s="290"/>
      <x:c r="F1269" s="400"/>
      <x:c r="I1269" s="392"/>
      <x:c r="J1269" t="str">
        <x:f>IF($B1269="","",IF(COUNTIF(Account_Map!$A$6:$A$31,$B1269)&gt;0,"Mapped","UNMAPPED"))</x:f>
      </x:c>
    </x:row>
    <x:row r="1270">
      <x:c r="A1270" s="290"/>
      <x:c r="F1270" s="400"/>
      <x:c r="I1270" s="392"/>
      <x:c r="J1270" t="str">
        <x:f>IF($B1270="","",IF(COUNTIF(Account_Map!$A$6:$A$31,$B1270)&gt;0,"Mapped","UNMAPPED"))</x:f>
      </x:c>
    </x:row>
    <x:row r="1271">
      <x:c r="A1271" s="290"/>
      <x:c r="F1271" s="400"/>
      <x:c r="I1271" s="392"/>
      <x:c r="J1271" t="str">
        <x:f>IF($B1271="","",IF(COUNTIF(Account_Map!$A$6:$A$31,$B1271)&gt;0,"Mapped","UNMAPPED"))</x:f>
      </x:c>
    </x:row>
    <x:row r="1272">
      <x:c r="A1272" s="290"/>
      <x:c r="F1272" s="400"/>
      <x:c r="I1272" s="392"/>
      <x:c r="J1272" t="str">
        <x:f>IF($B1272="","",IF(COUNTIF(Account_Map!$A$6:$A$31,$B1272)&gt;0,"Mapped","UNMAPPED"))</x:f>
      </x:c>
    </x:row>
    <x:row r="1273">
      <x:c r="A1273" s="290"/>
      <x:c r="F1273" s="400"/>
      <x:c r="I1273" s="392"/>
      <x:c r="J1273" t="str">
        <x:f>IF($B1273="","",IF(COUNTIF(Account_Map!$A$6:$A$31,$B1273)&gt;0,"Mapped","UNMAPPED"))</x:f>
      </x:c>
    </x:row>
    <x:row r="1274">
      <x:c r="A1274" s="290"/>
      <x:c r="F1274" s="400"/>
      <x:c r="I1274" s="392"/>
      <x:c r="J1274" t="str">
        <x:f>IF($B1274="","",IF(COUNTIF(Account_Map!$A$6:$A$31,$B1274)&gt;0,"Mapped","UNMAPPED"))</x:f>
      </x:c>
    </x:row>
    <x:row r="1275">
      <x:c r="A1275" s="290"/>
      <x:c r="F1275" s="400"/>
      <x:c r="I1275" s="392"/>
      <x:c r="J1275" t="str">
        <x:f>IF($B1275="","",IF(COUNTIF(Account_Map!$A$6:$A$31,$B1275)&gt;0,"Mapped","UNMAPPED"))</x:f>
      </x:c>
    </x:row>
    <x:row r="1276">
      <x:c r="A1276" s="290"/>
      <x:c r="F1276" s="400"/>
      <x:c r="I1276" s="392"/>
      <x:c r="J1276" t="str">
        <x:f>IF($B1276="","",IF(COUNTIF(Account_Map!$A$6:$A$31,$B1276)&gt;0,"Mapped","UNMAPPED"))</x:f>
      </x:c>
    </x:row>
    <x:row r="1277">
      <x:c r="A1277" s="290"/>
      <x:c r="F1277" s="400"/>
      <x:c r="I1277" s="392"/>
      <x:c r="J1277" t="str">
        <x:f>IF($B1277="","",IF(COUNTIF(Account_Map!$A$6:$A$31,$B1277)&gt;0,"Mapped","UNMAPPED"))</x:f>
      </x:c>
    </x:row>
    <x:row r="1278">
      <x:c r="A1278" s="290"/>
      <x:c r="F1278" s="400"/>
      <x:c r="I1278" s="392"/>
      <x:c r="J1278" t="str">
        <x:f>IF($B1278="","",IF(COUNTIF(Account_Map!$A$6:$A$31,$B1278)&gt;0,"Mapped","UNMAPPED"))</x:f>
      </x:c>
    </x:row>
    <x:row r="1279">
      <x:c r="A1279" s="290"/>
      <x:c r="F1279" s="400"/>
      <x:c r="I1279" s="392"/>
      <x:c r="J1279" t="str">
        <x:f>IF($B1279="","",IF(COUNTIF(Account_Map!$A$6:$A$31,$B1279)&gt;0,"Mapped","UNMAPPED"))</x:f>
      </x:c>
    </x:row>
    <x:row r="1280">
      <x:c r="A1280" s="290"/>
      <x:c r="F1280" s="400"/>
      <x:c r="I1280" s="392"/>
      <x:c r="J1280" t="str">
        <x:f>IF($B1280="","",IF(COUNTIF(Account_Map!$A$6:$A$31,$B1280)&gt;0,"Mapped","UNMAPPED"))</x:f>
      </x:c>
    </x:row>
    <x:row r="1281">
      <x:c r="A1281" s="290"/>
      <x:c r="F1281" s="400"/>
      <x:c r="I1281" s="392"/>
      <x:c r="J1281" t="str">
        <x:f>IF($B1281="","",IF(COUNTIF(Account_Map!$A$6:$A$31,$B1281)&gt;0,"Mapped","UNMAPPED"))</x:f>
      </x:c>
    </x:row>
    <x:row r="1282">
      <x:c r="A1282" s="290"/>
      <x:c r="F1282" s="400"/>
      <x:c r="I1282" s="392"/>
      <x:c r="J1282" t="str">
        <x:f>IF($B1282="","",IF(COUNTIF(Account_Map!$A$6:$A$31,$B1282)&gt;0,"Mapped","UNMAPPED"))</x:f>
      </x:c>
    </x:row>
    <x:row r="1283">
      <x:c r="A1283" s="290"/>
      <x:c r="F1283" s="400"/>
      <x:c r="I1283" s="392"/>
      <x:c r="J1283" t="str">
        <x:f>IF($B1283="","",IF(COUNTIF(Account_Map!$A$6:$A$31,$B1283)&gt;0,"Mapped","UNMAPPED"))</x:f>
      </x:c>
    </x:row>
    <x:row r="1284">
      <x:c r="A1284" s="290"/>
      <x:c r="F1284" s="400"/>
      <x:c r="I1284" s="392"/>
      <x:c r="J1284" t="str">
        <x:f>IF($B1284="","",IF(COUNTIF(Account_Map!$A$6:$A$31,$B1284)&gt;0,"Mapped","UNMAPPED"))</x:f>
      </x:c>
    </x:row>
    <x:row r="1285">
      <x:c r="A1285" s="290"/>
      <x:c r="F1285" s="400"/>
      <x:c r="I1285" s="392"/>
      <x:c r="J1285" t="str">
        <x:f>IF($B1285="","",IF(COUNTIF(Account_Map!$A$6:$A$31,$B1285)&gt;0,"Mapped","UNMAPPED"))</x:f>
      </x:c>
    </x:row>
    <x:row r="1286">
      <x:c r="A1286" s="290"/>
      <x:c r="F1286" s="400"/>
      <x:c r="I1286" s="392"/>
      <x:c r="J1286" t="str">
        <x:f>IF($B1286="","",IF(COUNTIF(Account_Map!$A$6:$A$31,$B1286)&gt;0,"Mapped","UNMAPPED"))</x:f>
      </x:c>
    </x:row>
    <x:row r="1287">
      <x:c r="A1287" s="290"/>
      <x:c r="F1287" s="400"/>
      <x:c r="I1287" s="392"/>
      <x:c r="J1287" t="str">
        <x:f>IF($B1287="","",IF(COUNTIF(Account_Map!$A$6:$A$31,$B1287)&gt;0,"Mapped","UNMAPPED"))</x:f>
      </x:c>
    </x:row>
    <x:row r="1288">
      <x:c r="A1288" s="290"/>
      <x:c r="F1288" s="400"/>
      <x:c r="I1288" s="392"/>
      <x:c r="J1288" t="str">
        <x:f>IF($B1288="","",IF(COUNTIF(Account_Map!$A$6:$A$31,$B1288)&gt;0,"Mapped","UNMAPPED"))</x:f>
      </x:c>
    </x:row>
    <x:row r="1289">
      <x:c r="A1289" s="290"/>
      <x:c r="F1289" s="400"/>
      <x:c r="I1289" s="392"/>
      <x:c r="J1289" t="str">
        <x:f>IF($B1289="","",IF(COUNTIF(Account_Map!$A$6:$A$31,$B1289)&gt;0,"Mapped","UNMAPPED"))</x:f>
      </x:c>
    </x:row>
    <x:row r="1290">
      <x:c r="A1290" s="290"/>
      <x:c r="F1290" s="400"/>
      <x:c r="I1290" s="392"/>
      <x:c r="J1290" t="str">
        <x:f>IF($B1290="","",IF(COUNTIF(Account_Map!$A$6:$A$31,$B1290)&gt;0,"Mapped","UNMAPPED"))</x:f>
      </x:c>
    </x:row>
    <x:row r="1291">
      <x:c r="A1291" s="290"/>
      <x:c r="F1291" s="400"/>
      <x:c r="I1291" s="392"/>
      <x:c r="J1291" t="str">
        <x:f>IF($B1291="","",IF(COUNTIF(Account_Map!$A$6:$A$31,$B1291)&gt;0,"Mapped","UNMAPPED"))</x:f>
      </x:c>
    </x:row>
    <x:row r="1292">
      <x:c r="A1292" s="290"/>
      <x:c r="F1292" s="400"/>
      <x:c r="I1292" s="392"/>
      <x:c r="J1292" t="str">
        <x:f>IF($B1292="","",IF(COUNTIF(Account_Map!$A$6:$A$31,$B1292)&gt;0,"Mapped","UNMAPPED"))</x:f>
      </x:c>
    </x:row>
    <x:row r="1293">
      <x:c r="A1293" s="290"/>
      <x:c r="F1293" s="400"/>
      <x:c r="I1293" s="392"/>
      <x:c r="J1293" t="str">
        <x:f>IF($B1293="","",IF(COUNTIF(Account_Map!$A$6:$A$31,$B1293)&gt;0,"Mapped","UNMAPPED"))</x:f>
      </x:c>
    </x:row>
    <x:row r="1294">
      <x:c r="A1294" s="290"/>
      <x:c r="F1294" s="400"/>
      <x:c r="I1294" s="392"/>
      <x:c r="J1294" t="str">
        <x:f>IF($B1294="","",IF(COUNTIF(Account_Map!$A$6:$A$31,$B1294)&gt;0,"Mapped","UNMAPPED"))</x:f>
      </x:c>
    </x:row>
    <x:row r="1295">
      <x:c r="A1295" s="290"/>
      <x:c r="F1295" s="400"/>
      <x:c r="I1295" s="392"/>
      <x:c r="J1295" t="str">
        <x:f>IF($B1295="","",IF(COUNTIF(Account_Map!$A$6:$A$31,$B1295)&gt;0,"Mapped","UNMAPPED"))</x:f>
      </x:c>
    </x:row>
    <x:row r="1296">
      <x:c r="A1296" s="290"/>
      <x:c r="F1296" s="400"/>
      <x:c r="I1296" s="392"/>
      <x:c r="J1296" t="str">
        <x:f>IF($B1296="","",IF(COUNTIF(Account_Map!$A$6:$A$31,$B1296)&gt;0,"Mapped","UNMAPPED"))</x:f>
      </x:c>
    </x:row>
    <x:row r="1297">
      <x:c r="A1297" s="290"/>
      <x:c r="F1297" s="400"/>
      <x:c r="I1297" s="392"/>
      <x:c r="J1297" t="str">
        <x:f>IF($B1297="","",IF(COUNTIF(Account_Map!$A$6:$A$31,$B1297)&gt;0,"Mapped","UNMAPPED"))</x:f>
      </x:c>
    </x:row>
    <x:row r="1298">
      <x:c r="A1298" s="290"/>
      <x:c r="F1298" s="400"/>
      <x:c r="I1298" s="392"/>
      <x:c r="J1298" t="str">
        <x:f>IF($B1298="","",IF(COUNTIF(Account_Map!$A$6:$A$31,$B1298)&gt;0,"Mapped","UNMAPPED"))</x:f>
      </x:c>
    </x:row>
    <x:row r="1299">
      <x:c r="A1299" s="290"/>
      <x:c r="F1299" s="400"/>
      <x:c r="I1299" s="392"/>
      <x:c r="J1299" t="str">
        <x:f>IF($B1299="","",IF(COUNTIF(Account_Map!$A$6:$A$31,$B1299)&gt;0,"Mapped","UNMAPPED"))</x:f>
      </x:c>
    </x:row>
    <x:row r="1300">
      <x:c r="A1300" s="290"/>
      <x:c r="F1300" s="400"/>
      <x:c r="I1300" s="392"/>
      <x:c r="J1300" t="str">
        <x:f>IF($B1300="","",IF(COUNTIF(Account_Map!$A$6:$A$31,$B1300)&gt;0,"Mapped","UNMAPPED"))</x:f>
      </x:c>
    </x:row>
    <x:row r="1301">
      <x:c r="A1301" s="290"/>
      <x:c r="F1301" s="400"/>
      <x:c r="I1301" s="392"/>
      <x:c r="J1301" t="str">
        <x:f>IF($B1301="","",IF(COUNTIF(Account_Map!$A$6:$A$31,$B1301)&gt;0,"Mapped","UNMAPPED"))</x:f>
      </x:c>
    </x:row>
    <x:row r="1302">
      <x:c r="A1302" s="290"/>
      <x:c r="F1302" s="400"/>
      <x:c r="I1302" s="392"/>
      <x:c r="J1302" t="str">
        <x:f>IF($B1302="","",IF(COUNTIF(Account_Map!$A$6:$A$31,$B1302)&gt;0,"Mapped","UNMAPPED"))</x:f>
      </x:c>
    </x:row>
    <x:row r="1303">
      <x:c r="A1303" s="290"/>
      <x:c r="F1303" s="400"/>
      <x:c r="I1303" s="392"/>
      <x:c r="J1303" t="str">
        <x:f>IF($B1303="","",IF(COUNTIF(Account_Map!$A$6:$A$31,$B1303)&gt;0,"Mapped","UNMAPPED"))</x:f>
      </x:c>
    </x:row>
    <x:row r="1304">
      <x:c r="A1304" s="290"/>
      <x:c r="F1304" s="400"/>
      <x:c r="I1304" s="392"/>
      <x:c r="J1304" t="str">
        <x:f>IF($B1304="","",IF(COUNTIF(Account_Map!$A$6:$A$31,$B1304)&gt;0,"Mapped","UNMAPPED"))</x:f>
      </x:c>
    </x:row>
    <x:row r="1305">
      <x:c r="A1305" s="290"/>
      <x:c r="F1305" s="400"/>
      <x:c r="I1305" s="392"/>
      <x:c r="J1305" t="str">
        <x:f>IF($B1305="","",IF(COUNTIF(Account_Map!$A$6:$A$31,$B1305)&gt;0,"Mapped","UNMAPPED"))</x:f>
      </x:c>
    </x:row>
    <x:row r="1306">
      <x:c r="A1306" s="290"/>
      <x:c r="F1306" s="400"/>
      <x:c r="I1306" s="392"/>
      <x:c r="J1306" t="str">
        <x:f>IF($B1306="","",IF(COUNTIF(Account_Map!$A$6:$A$31,$B1306)&gt;0,"Mapped","UNMAPPED"))</x:f>
      </x:c>
    </x:row>
    <x:row r="1307">
      <x:c r="A1307" s="290"/>
      <x:c r="F1307" s="400"/>
      <x:c r="I1307" s="392"/>
      <x:c r="J1307" t="str">
        <x:f>IF($B1307="","",IF(COUNTIF(Account_Map!$A$6:$A$31,$B1307)&gt;0,"Mapped","UNMAPPED"))</x:f>
      </x:c>
    </x:row>
    <x:row r="1308">
      <x:c r="A1308" s="290"/>
      <x:c r="F1308" s="400"/>
      <x:c r="I1308" s="392"/>
      <x:c r="J1308" t="str">
        <x:f>IF($B1308="","",IF(COUNTIF(Account_Map!$A$6:$A$31,$B1308)&gt;0,"Mapped","UNMAPPED"))</x:f>
      </x:c>
    </x:row>
    <x:row r="1309">
      <x:c r="A1309" s="290"/>
      <x:c r="F1309" s="400"/>
      <x:c r="I1309" s="392"/>
      <x:c r="J1309" t="str">
        <x:f>IF($B1309="","",IF(COUNTIF(Account_Map!$A$6:$A$31,$B1309)&gt;0,"Mapped","UNMAPPED"))</x:f>
      </x:c>
    </x:row>
    <x:row r="1310">
      <x:c r="A1310" s="290"/>
      <x:c r="F1310" s="400"/>
      <x:c r="I1310" s="392"/>
      <x:c r="J1310" t="str">
        <x:f>IF($B1310="","",IF(COUNTIF(Account_Map!$A$6:$A$31,$B1310)&gt;0,"Mapped","UNMAPPED"))</x:f>
      </x:c>
    </x:row>
    <x:row r="1311">
      <x:c r="A1311" s="290"/>
      <x:c r="F1311" s="400"/>
      <x:c r="I1311" s="392"/>
      <x:c r="J1311" t="str">
        <x:f>IF($B1311="","",IF(COUNTIF(Account_Map!$A$6:$A$31,$B1311)&gt;0,"Mapped","UNMAPPED"))</x:f>
      </x:c>
    </x:row>
    <x:row r="1312">
      <x:c r="A1312" s="290"/>
      <x:c r="F1312" s="400"/>
      <x:c r="I1312" s="392"/>
      <x:c r="J1312" t="str">
        <x:f>IF($B1312="","",IF(COUNTIF(Account_Map!$A$6:$A$31,$B1312)&gt;0,"Mapped","UNMAPPED"))</x:f>
      </x:c>
    </x:row>
    <x:row r="1313">
      <x:c r="A1313" s="290"/>
      <x:c r="F1313" s="400"/>
      <x:c r="I1313" s="392"/>
      <x:c r="J1313" t="str">
        <x:f>IF($B1313="","",IF(COUNTIF(Account_Map!$A$6:$A$31,$B1313)&gt;0,"Mapped","UNMAPPED"))</x:f>
      </x:c>
    </x:row>
    <x:row r="1314">
      <x:c r="A1314" s="290"/>
      <x:c r="F1314" s="400"/>
      <x:c r="I1314" s="392"/>
      <x:c r="J1314" t="str">
        <x:f>IF($B1314="","",IF(COUNTIF(Account_Map!$A$6:$A$31,$B1314)&gt;0,"Mapped","UNMAPPED"))</x:f>
      </x:c>
    </x:row>
    <x:row r="1315">
      <x:c r="A1315" s="290"/>
      <x:c r="F1315" s="400"/>
      <x:c r="I1315" s="392"/>
      <x:c r="J1315" t="str">
        <x:f>IF($B1315="","",IF(COUNTIF(Account_Map!$A$6:$A$31,$B1315)&gt;0,"Mapped","UNMAPPED"))</x:f>
      </x:c>
    </x:row>
    <x:row r="1316">
      <x:c r="A1316" s="290"/>
      <x:c r="F1316" s="400"/>
      <x:c r="I1316" s="392"/>
      <x:c r="J1316" t="str">
        <x:f>IF($B1316="","",IF(COUNTIF(Account_Map!$A$6:$A$31,$B1316)&gt;0,"Mapped","UNMAPPED"))</x:f>
      </x:c>
    </x:row>
    <x:row r="1317">
      <x:c r="A1317" s="290"/>
      <x:c r="F1317" s="400"/>
      <x:c r="I1317" s="392"/>
      <x:c r="J1317" t="str">
        <x:f>IF($B1317="","",IF(COUNTIF(Account_Map!$A$6:$A$31,$B1317)&gt;0,"Mapped","UNMAPPED"))</x:f>
      </x:c>
    </x:row>
    <x:row r="1318">
      <x:c r="A1318" s="290"/>
      <x:c r="F1318" s="400"/>
      <x:c r="I1318" s="392"/>
      <x:c r="J1318" t="str">
        <x:f>IF($B1318="","",IF(COUNTIF(Account_Map!$A$6:$A$31,$B1318)&gt;0,"Mapped","UNMAPPED"))</x:f>
      </x:c>
    </x:row>
    <x:row r="1319">
      <x:c r="A1319" s="290"/>
      <x:c r="F1319" s="400"/>
      <x:c r="I1319" s="392"/>
      <x:c r="J1319" t="str">
        <x:f>IF($B1319="","",IF(COUNTIF(Account_Map!$A$6:$A$31,$B1319)&gt;0,"Mapped","UNMAPPED"))</x:f>
      </x:c>
    </x:row>
    <x:row r="1320">
      <x:c r="A1320" s="290"/>
      <x:c r="F1320" s="400"/>
      <x:c r="I1320" s="392"/>
      <x:c r="J1320" t="str">
        <x:f>IF($B1320="","",IF(COUNTIF(Account_Map!$A$6:$A$31,$B1320)&gt;0,"Mapped","UNMAPPED"))</x:f>
      </x:c>
    </x:row>
    <x:row r="1321">
      <x:c r="A1321" s="290"/>
      <x:c r="F1321" s="400"/>
      <x:c r="I1321" s="392"/>
      <x:c r="J1321" t="str">
        <x:f>IF($B1321="","",IF(COUNTIF(Account_Map!$A$6:$A$31,$B1321)&gt;0,"Mapped","UNMAPPED"))</x:f>
      </x:c>
    </x:row>
    <x:row r="1322">
      <x:c r="A1322" s="290"/>
      <x:c r="F1322" s="400"/>
      <x:c r="I1322" s="392"/>
      <x:c r="J1322" t="str">
        <x:f>IF($B1322="","",IF(COUNTIF(Account_Map!$A$6:$A$31,$B1322)&gt;0,"Mapped","UNMAPPED"))</x:f>
      </x:c>
    </x:row>
    <x:row r="1323">
      <x:c r="A1323" s="290"/>
      <x:c r="F1323" s="400"/>
      <x:c r="I1323" s="392"/>
      <x:c r="J1323" t="str">
        <x:f>IF($B1323="","",IF(COUNTIF(Account_Map!$A$6:$A$31,$B1323)&gt;0,"Mapped","UNMAPPED"))</x:f>
      </x:c>
    </x:row>
    <x:row r="1324">
      <x:c r="A1324" s="290"/>
      <x:c r="F1324" s="400"/>
      <x:c r="I1324" s="392"/>
      <x:c r="J1324" t="str">
        <x:f>IF($B1324="","",IF(COUNTIF(Account_Map!$A$6:$A$31,$B1324)&gt;0,"Mapped","UNMAPPED"))</x:f>
      </x:c>
    </x:row>
    <x:row r="1325">
      <x:c r="A1325" s="290"/>
      <x:c r="F1325" s="400"/>
      <x:c r="I1325" s="392"/>
      <x:c r="J1325" t="str">
        <x:f>IF($B1325="","",IF(COUNTIF(Account_Map!$A$6:$A$31,$B1325)&gt;0,"Mapped","UNMAPPED"))</x:f>
      </x:c>
    </x:row>
    <x:row r="1326">
      <x:c r="A1326" s="290"/>
      <x:c r="F1326" s="400"/>
      <x:c r="I1326" s="392"/>
      <x:c r="J1326" t="str">
        <x:f>IF($B1326="","",IF(COUNTIF(Account_Map!$A$6:$A$31,$B1326)&gt;0,"Mapped","UNMAPPED"))</x:f>
      </x:c>
    </x:row>
    <x:row r="1327">
      <x:c r="A1327" s="290"/>
      <x:c r="F1327" s="400"/>
      <x:c r="I1327" s="392"/>
      <x:c r="J1327" t="str">
        <x:f>IF($B1327="","",IF(COUNTIF(Account_Map!$A$6:$A$31,$B1327)&gt;0,"Mapped","UNMAPPED"))</x:f>
      </x:c>
    </x:row>
    <x:row r="1328">
      <x:c r="A1328" s="290"/>
      <x:c r="F1328" s="400"/>
      <x:c r="I1328" s="392"/>
      <x:c r="J1328" t="str">
        <x:f>IF($B1328="","",IF(COUNTIF(Account_Map!$A$6:$A$31,$B1328)&gt;0,"Mapped","UNMAPPED"))</x:f>
      </x:c>
    </x:row>
    <x:row r="1329">
      <x:c r="A1329" s="290"/>
      <x:c r="F1329" s="400"/>
      <x:c r="I1329" s="392"/>
      <x:c r="J1329" t="str">
        <x:f>IF($B1329="","",IF(COUNTIF(Account_Map!$A$6:$A$31,$B1329)&gt;0,"Mapped","UNMAPPED"))</x:f>
      </x:c>
    </x:row>
    <x:row r="1330">
      <x:c r="A1330" s="290"/>
      <x:c r="F1330" s="400"/>
      <x:c r="I1330" s="392"/>
      <x:c r="J1330" t="str">
        <x:f>IF($B1330="","",IF(COUNTIF(Account_Map!$A$6:$A$31,$B1330)&gt;0,"Mapped","UNMAPPED"))</x:f>
      </x:c>
    </x:row>
    <x:row r="1331">
      <x:c r="A1331" s="290"/>
      <x:c r="F1331" s="400"/>
      <x:c r="I1331" s="392"/>
      <x:c r="J1331" t="str">
        <x:f>IF($B1331="","",IF(COUNTIF(Account_Map!$A$6:$A$31,$B1331)&gt;0,"Mapped","UNMAPPED"))</x:f>
      </x:c>
    </x:row>
    <x:row r="1332">
      <x:c r="A1332" s="290"/>
      <x:c r="F1332" s="400"/>
      <x:c r="I1332" s="392"/>
      <x:c r="J1332" t="str">
        <x:f>IF($B1332="","",IF(COUNTIF(Account_Map!$A$6:$A$31,$B1332)&gt;0,"Mapped","UNMAPPED"))</x:f>
      </x:c>
    </x:row>
    <x:row r="1333">
      <x:c r="A1333" s="290"/>
      <x:c r="F1333" s="400"/>
      <x:c r="I1333" s="392"/>
      <x:c r="J1333" t="str">
        <x:f>IF($B1333="","",IF(COUNTIF(Account_Map!$A$6:$A$31,$B1333)&gt;0,"Mapped","UNMAPPED"))</x:f>
      </x:c>
    </x:row>
    <x:row r="1334">
      <x:c r="A1334" s="290"/>
      <x:c r="F1334" s="400"/>
      <x:c r="I1334" s="392"/>
      <x:c r="J1334" t="str">
        <x:f>IF($B1334="","",IF(COUNTIF(Account_Map!$A$6:$A$31,$B1334)&gt;0,"Mapped","UNMAPPED"))</x:f>
      </x:c>
    </x:row>
    <x:row r="1335">
      <x:c r="A1335" s="290"/>
      <x:c r="F1335" s="400"/>
      <x:c r="I1335" s="392"/>
      <x:c r="J1335" t="str">
        <x:f>IF($B1335="","",IF(COUNTIF(Account_Map!$A$6:$A$31,$B1335)&gt;0,"Mapped","UNMAPPED"))</x:f>
      </x:c>
    </x:row>
    <x:row r="1336">
      <x:c r="A1336" s="290"/>
      <x:c r="F1336" s="400"/>
      <x:c r="I1336" s="392"/>
      <x:c r="J1336" t="str">
        <x:f>IF($B1336="","",IF(COUNTIF(Account_Map!$A$6:$A$31,$B1336)&gt;0,"Mapped","UNMAPPED"))</x:f>
      </x:c>
    </x:row>
    <x:row r="1337">
      <x:c r="A1337" s="290"/>
      <x:c r="F1337" s="400"/>
      <x:c r="I1337" s="392"/>
      <x:c r="J1337" t="str">
        <x:f>IF($B1337="","",IF(COUNTIF(Account_Map!$A$6:$A$31,$B1337)&gt;0,"Mapped","UNMAPPED"))</x:f>
      </x:c>
    </x:row>
    <x:row r="1338">
      <x:c r="A1338" s="290"/>
      <x:c r="F1338" s="400"/>
      <x:c r="I1338" s="392"/>
      <x:c r="J1338" t="str">
        <x:f>IF($B1338="","",IF(COUNTIF(Account_Map!$A$6:$A$31,$B1338)&gt;0,"Mapped","UNMAPPED"))</x:f>
      </x:c>
    </x:row>
    <x:row r="1339">
      <x:c r="A1339" s="290"/>
      <x:c r="F1339" s="400"/>
      <x:c r="I1339" s="392"/>
      <x:c r="J1339" t="str">
        <x:f>IF($B1339="","",IF(COUNTIF(Account_Map!$A$6:$A$31,$B1339)&gt;0,"Mapped","UNMAPPED"))</x:f>
      </x:c>
    </x:row>
    <x:row r="1340">
      <x:c r="A1340" s="290"/>
      <x:c r="F1340" s="400"/>
      <x:c r="I1340" s="392"/>
      <x:c r="J1340" t="str">
        <x:f>IF($B1340="","",IF(COUNTIF(Account_Map!$A$6:$A$31,$B1340)&gt;0,"Mapped","UNMAPPED"))</x:f>
      </x:c>
    </x:row>
    <x:row r="1341">
      <x:c r="A1341" s="290"/>
      <x:c r="F1341" s="400"/>
      <x:c r="I1341" s="392"/>
      <x:c r="J1341" t="str">
        <x:f>IF($B1341="","",IF(COUNTIF(Account_Map!$A$6:$A$31,$B1341)&gt;0,"Mapped","UNMAPPED"))</x:f>
      </x:c>
    </x:row>
    <x:row r="1342">
      <x:c r="A1342" s="290"/>
      <x:c r="F1342" s="400"/>
      <x:c r="I1342" s="392"/>
      <x:c r="J1342" t="str">
        <x:f>IF($B1342="","",IF(COUNTIF(Account_Map!$A$6:$A$31,$B1342)&gt;0,"Mapped","UNMAPPED"))</x:f>
      </x:c>
    </x:row>
    <x:row r="1343">
      <x:c r="A1343" s="290"/>
      <x:c r="F1343" s="400"/>
      <x:c r="I1343" s="392"/>
      <x:c r="J1343" t="str">
        <x:f>IF($B1343="","",IF(COUNTIF(Account_Map!$A$6:$A$31,$B1343)&gt;0,"Mapped","UNMAPPED"))</x:f>
      </x:c>
    </x:row>
    <x:row r="1344">
      <x:c r="A1344" s="290"/>
      <x:c r="F1344" s="400"/>
      <x:c r="I1344" s="392"/>
      <x:c r="J1344" t="str">
        <x:f>IF($B1344="","",IF(COUNTIF(Account_Map!$A$6:$A$31,$B1344)&gt;0,"Mapped","UNMAPPED"))</x:f>
      </x:c>
    </x:row>
    <x:row r="1345">
      <x:c r="A1345" s="290"/>
      <x:c r="F1345" s="400"/>
      <x:c r="I1345" s="392"/>
      <x:c r="J1345" t="str">
        <x:f>IF($B1345="","",IF(COUNTIF(Account_Map!$A$6:$A$31,$B1345)&gt;0,"Mapped","UNMAPPED"))</x:f>
      </x:c>
    </x:row>
    <x:row r="1346">
      <x:c r="A1346" s="290"/>
      <x:c r="F1346" s="400"/>
      <x:c r="I1346" s="392"/>
      <x:c r="J1346" t="str">
        <x:f>IF($B1346="","",IF(COUNTIF(Account_Map!$A$6:$A$31,$B1346)&gt;0,"Mapped","UNMAPPED"))</x:f>
      </x:c>
    </x:row>
    <x:row r="1347">
      <x:c r="A1347" s="290"/>
      <x:c r="F1347" s="400"/>
      <x:c r="I1347" s="392"/>
      <x:c r="J1347" t="str">
        <x:f>IF($B1347="","",IF(COUNTIF(Account_Map!$A$6:$A$31,$B1347)&gt;0,"Mapped","UNMAPPED"))</x:f>
      </x:c>
    </x:row>
    <x:row r="1348">
      <x:c r="A1348" s="290"/>
      <x:c r="F1348" s="400"/>
      <x:c r="I1348" s="392"/>
      <x:c r="J1348" t="str">
        <x:f>IF($B1348="","",IF(COUNTIF(Account_Map!$A$6:$A$31,$B1348)&gt;0,"Mapped","UNMAPPED"))</x:f>
      </x:c>
    </x:row>
    <x:row r="1349">
      <x:c r="A1349" s="290"/>
      <x:c r="F1349" s="400"/>
      <x:c r="I1349" s="392"/>
      <x:c r="J1349" t="str">
        <x:f>IF($B1349="","",IF(COUNTIF(Account_Map!$A$6:$A$31,$B1349)&gt;0,"Mapped","UNMAPPED"))</x:f>
      </x:c>
    </x:row>
    <x:row r="1350">
      <x:c r="A1350" s="290"/>
      <x:c r="F1350" s="400"/>
      <x:c r="I1350" s="392"/>
      <x:c r="J1350" t="str">
        <x:f>IF($B1350="","",IF(COUNTIF(Account_Map!$A$6:$A$31,$B1350)&gt;0,"Mapped","UNMAPPED"))</x:f>
      </x:c>
    </x:row>
    <x:row r="1351">
      <x:c r="A1351" s="290"/>
      <x:c r="F1351" s="400"/>
      <x:c r="I1351" s="392"/>
      <x:c r="J1351" t="str">
        <x:f>IF($B1351="","",IF(COUNTIF(Account_Map!$A$6:$A$31,$B1351)&gt;0,"Mapped","UNMAPPED"))</x:f>
      </x:c>
    </x:row>
    <x:row r="1352">
      <x:c r="A1352" s="290"/>
      <x:c r="F1352" s="400"/>
      <x:c r="I1352" s="392"/>
      <x:c r="J1352" t="str">
        <x:f>IF($B1352="","",IF(COUNTIF(Account_Map!$A$6:$A$31,$B1352)&gt;0,"Mapped","UNMAPPED"))</x:f>
      </x:c>
    </x:row>
    <x:row r="1353">
      <x:c r="A1353" s="290"/>
      <x:c r="F1353" s="400"/>
      <x:c r="I1353" s="392"/>
      <x:c r="J1353" t="str">
        <x:f>IF($B1353="","",IF(COUNTIF(Account_Map!$A$6:$A$31,$B1353)&gt;0,"Mapped","UNMAPPED"))</x:f>
      </x:c>
    </x:row>
    <x:row r="1354">
      <x:c r="A1354" s="290"/>
      <x:c r="F1354" s="400"/>
      <x:c r="I1354" s="392"/>
      <x:c r="J1354" t="str">
        <x:f>IF($B1354="","",IF(COUNTIF(Account_Map!$A$6:$A$31,$B1354)&gt;0,"Mapped","UNMAPPED"))</x:f>
      </x:c>
    </x:row>
    <x:row r="1355">
      <x:c r="A1355" s="290"/>
      <x:c r="F1355" s="400"/>
      <x:c r="I1355" s="392"/>
      <x:c r="J1355" t="str">
        <x:f>IF($B1355="","",IF(COUNTIF(Account_Map!$A$6:$A$31,$B1355)&gt;0,"Mapped","UNMAPPED"))</x:f>
      </x:c>
    </x:row>
    <x:row r="1356">
      <x:c r="A1356" s="290"/>
      <x:c r="F1356" s="400"/>
      <x:c r="I1356" s="392"/>
      <x:c r="J1356" t="str">
        <x:f>IF($B1356="","",IF(COUNTIF(Account_Map!$A$6:$A$31,$B1356)&gt;0,"Mapped","UNMAPPED"))</x:f>
      </x:c>
    </x:row>
    <x:row r="1357">
      <x:c r="A1357" s="290"/>
      <x:c r="F1357" s="400"/>
      <x:c r="I1357" s="392"/>
      <x:c r="J1357" t="str">
        <x:f>IF($B1357="","",IF(COUNTIF(Account_Map!$A$6:$A$31,$B1357)&gt;0,"Mapped","UNMAPPED"))</x:f>
      </x:c>
    </x:row>
    <x:row r="1358">
      <x:c r="A1358" s="290"/>
      <x:c r="F1358" s="400"/>
      <x:c r="I1358" s="392"/>
      <x:c r="J1358" t="str">
        <x:f>IF($B1358="","",IF(COUNTIF(Account_Map!$A$6:$A$31,$B1358)&gt;0,"Mapped","UNMAPPED"))</x:f>
      </x:c>
    </x:row>
    <x:row r="1359">
      <x:c r="A1359" s="290"/>
      <x:c r="F1359" s="400"/>
      <x:c r="I1359" s="392"/>
      <x:c r="J1359" t="str">
        <x:f>IF($B1359="","",IF(COUNTIF(Account_Map!$A$6:$A$31,$B1359)&gt;0,"Mapped","UNMAPPED"))</x:f>
      </x:c>
    </x:row>
    <x:row r="1360">
      <x:c r="A1360" s="290"/>
      <x:c r="F1360" s="400"/>
      <x:c r="I1360" s="392"/>
      <x:c r="J1360" t="str">
        <x:f>IF($B1360="","",IF(COUNTIF(Account_Map!$A$6:$A$31,$B1360)&gt;0,"Mapped","UNMAPPED"))</x:f>
      </x:c>
    </x:row>
    <x:row r="1361">
      <x:c r="A1361" s="290"/>
      <x:c r="F1361" s="400"/>
      <x:c r="I1361" s="392"/>
      <x:c r="J1361" t="str">
        <x:f>IF($B1361="","",IF(COUNTIF(Account_Map!$A$6:$A$31,$B1361)&gt;0,"Mapped","UNMAPPED"))</x:f>
      </x:c>
    </x:row>
    <x:row r="1362">
      <x:c r="A1362" s="290"/>
      <x:c r="F1362" s="400"/>
      <x:c r="I1362" s="392"/>
      <x:c r="J1362" t="str">
        <x:f>IF($B1362="","",IF(COUNTIF(Account_Map!$A$6:$A$31,$B1362)&gt;0,"Mapped","UNMAPPED"))</x:f>
      </x:c>
    </x:row>
    <x:row r="1363">
      <x:c r="A1363" s="290"/>
      <x:c r="F1363" s="400"/>
      <x:c r="I1363" s="392"/>
      <x:c r="J1363" t="str">
        <x:f>IF($B1363="","",IF(COUNTIF(Account_Map!$A$6:$A$31,$B1363)&gt;0,"Mapped","UNMAPPED"))</x:f>
      </x:c>
    </x:row>
    <x:row r="1364">
      <x:c r="A1364" s="290"/>
      <x:c r="F1364" s="400"/>
      <x:c r="I1364" s="392"/>
      <x:c r="J1364" t="str">
        <x:f>IF($B1364="","",IF(COUNTIF(Account_Map!$A$6:$A$31,$B1364)&gt;0,"Mapped","UNMAPPED"))</x:f>
      </x:c>
    </x:row>
    <x:row r="1365">
      <x:c r="A1365" s="290"/>
      <x:c r="F1365" s="400"/>
      <x:c r="I1365" s="392"/>
      <x:c r="J1365" t="str">
        <x:f>IF($B1365="","",IF(COUNTIF(Account_Map!$A$6:$A$31,$B1365)&gt;0,"Mapped","UNMAPPED"))</x:f>
      </x:c>
    </x:row>
    <x:row r="1366">
      <x:c r="A1366" s="290"/>
      <x:c r="F1366" s="400"/>
      <x:c r="I1366" s="392"/>
      <x:c r="J1366" t="str">
        <x:f>IF($B1366="","",IF(COUNTIF(Account_Map!$A$6:$A$31,$B1366)&gt;0,"Mapped","UNMAPPED"))</x:f>
      </x:c>
    </x:row>
    <x:row r="1367">
      <x:c r="A1367" s="290"/>
      <x:c r="F1367" s="400"/>
      <x:c r="I1367" s="392"/>
      <x:c r="J1367" t="str">
        <x:f>IF($B1367="","",IF(COUNTIF(Account_Map!$A$6:$A$31,$B1367)&gt;0,"Mapped","UNMAPPED"))</x:f>
      </x:c>
    </x:row>
    <x:row r="1368">
      <x:c r="A1368" s="290"/>
      <x:c r="F1368" s="400"/>
      <x:c r="I1368" s="392"/>
      <x:c r="J1368" t="str">
        <x:f>IF($B1368="","",IF(COUNTIF(Account_Map!$A$6:$A$31,$B1368)&gt;0,"Mapped","UNMAPPED"))</x:f>
      </x:c>
    </x:row>
    <x:row r="1369">
      <x:c r="A1369" s="290"/>
      <x:c r="F1369" s="400"/>
      <x:c r="I1369" s="392"/>
      <x:c r="J1369" t="str">
        <x:f>IF($B1369="","",IF(COUNTIF(Account_Map!$A$6:$A$31,$B1369)&gt;0,"Mapped","UNMAPPED"))</x:f>
      </x:c>
    </x:row>
    <x:row r="1370">
      <x:c r="A1370" s="290"/>
      <x:c r="F1370" s="400"/>
      <x:c r="I1370" s="392"/>
      <x:c r="J1370" t="str">
        <x:f>IF($B1370="","",IF(COUNTIF(Account_Map!$A$6:$A$31,$B1370)&gt;0,"Mapped","UNMAPPED"))</x:f>
      </x:c>
    </x:row>
    <x:row r="1371">
      <x:c r="A1371" s="290"/>
      <x:c r="F1371" s="400"/>
      <x:c r="I1371" s="392"/>
      <x:c r="J1371" t="str">
        <x:f>IF($B1371="","",IF(COUNTIF(Account_Map!$A$6:$A$31,$B1371)&gt;0,"Mapped","UNMAPPED"))</x:f>
      </x:c>
    </x:row>
    <x:row r="1372">
      <x:c r="A1372" s="290"/>
      <x:c r="F1372" s="400"/>
      <x:c r="I1372" s="392"/>
      <x:c r="J1372" t="str">
        <x:f>IF($B1372="","",IF(COUNTIF(Account_Map!$A$6:$A$31,$B1372)&gt;0,"Mapped","UNMAPPED"))</x:f>
      </x:c>
    </x:row>
    <x:row r="1373">
      <x:c r="A1373" s="290"/>
      <x:c r="F1373" s="400"/>
      <x:c r="I1373" s="392"/>
      <x:c r="J1373" t="str">
        <x:f>IF($B1373="","",IF(COUNTIF(Account_Map!$A$6:$A$31,$B1373)&gt;0,"Mapped","UNMAPPED"))</x:f>
      </x:c>
    </x:row>
    <x:row r="1374">
      <x:c r="A1374" s="290"/>
      <x:c r="F1374" s="400"/>
      <x:c r="I1374" s="392"/>
      <x:c r="J1374" t="str">
        <x:f>IF($B1374="","",IF(COUNTIF(Account_Map!$A$6:$A$31,$B1374)&gt;0,"Mapped","UNMAPPED"))</x:f>
      </x:c>
    </x:row>
    <x:row r="1375">
      <x:c r="A1375" s="290"/>
      <x:c r="F1375" s="400"/>
      <x:c r="I1375" s="392"/>
      <x:c r="J1375" t="str">
        <x:f>IF($B1375="","",IF(COUNTIF(Account_Map!$A$6:$A$31,$B1375)&gt;0,"Mapped","UNMAPPED"))</x:f>
      </x:c>
    </x:row>
    <x:row r="1376">
      <x:c r="A1376" s="290"/>
      <x:c r="F1376" s="400"/>
      <x:c r="I1376" s="392"/>
      <x:c r="J1376" t="str">
        <x:f>IF($B1376="","",IF(COUNTIF(Account_Map!$A$6:$A$31,$B1376)&gt;0,"Mapped","UNMAPPED"))</x:f>
      </x:c>
    </x:row>
    <x:row r="1377">
      <x:c r="A1377" s="290"/>
      <x:c r="F1377" s="400"/>
      <x:c r="I1377" s="392"/>
      <x:c r="J1377" t="str">
        <x:f>IF($B1377="","",IF(COUNTIF(Account_Map!$A$6:$A$31,$B1377)&gt;0,"Mapped","UNMAPPED"))</x:f>
      </x:c>
    </x:row>
    <x:row r="1378">
      <x:c r="A1378" s="290"/>
      <x:c r="F1378" s="400"/>
      <x:c r="I1378" s="392"/>
      <x:c r="J1378" t="str">
        <x:f>IF($B1378="","",IF(COUNTIF(Account_Map!$A$6:$A$31,$B1378)&gt;0,"Mapped","UNMAPPED"))</x:f>
      </x:c>
    </x:row>
    <x:row r="1379">
      <x:c r="A1379" s="290"/>
      <x:c r="F1379" s="400"/>
      <x:c r="I1379" s="392"/>
      <x:c r="J1379" t="str">
        <x:f>IF($B1379="","",IF(COUNTIF(Account_Map!$A$6:$A$31,$B1379)&gt;0,"Mapped","UNMAPPED"))</x:f>
      </x:c>
    </x:row>
    <x:row r="1380">
      <x:c r="A1380" s="290"/>
      <x:c r="F1380" s="400"/>
      <x:c r="I1380" s="392"/>
      <x:c r="J1380" t="str">
        <x:f>IF($B1380="","",IF(COUNTIF(Account_Map!$A$6:$A$31,$B1380)&gt;0,"Mapped","UNMAPPED"))</x:f>
      </x:c>
    </x:row>
    <x:row r="1381">
      <x:c r="A1381" s="290"/>
      <x:c r="F1381" s="400"/>
      <x:c r="I1381" s="392"/>
      <x:c r="J1381" t="str">
        <x:f>IF($B1381="","",IF(COUNTIF(Account_Map!$A$6:$A$31,$B1381)&gt;0,"Mapped","UNMAPPED"))</x:f>
      </x:c>
    </x:row>
    <x:row r="1382">
      <x:c r="A1382" s="290"/>
      <x:c r="F1382" s="400"/>
      <x:c r="I1382" s="392"/>
      <x:c r="J1382" t="str">
        <x:f>IF($B1382="","",IF(COUNTIF(Account_Map!$A$6:$A$31,$B1382)&gt;0,"Mapped","UNMAPPED"))</x:f>
      </x:c>
    </x:row>
    <x:row r="1383">
      <x:c r="A1383" s="290"/>
      <x:c r="F1383" s="400"/>
      <x:c r="I1383" s="392"/>
      <x:c r="J1383" t="str">
        <x:f>IF($B1383="","",IF(COUNTIF(Account_Map!$A$6:$A$31,$B1383)&gt;0,"Mapped","UNMAPPED"))</x:f>
      </x:c>
    </x:row>
    <x:row r="1384">
      <x:c r="A1384" s="290"/>
      <x:c r="F1384" s="400"/>
      <x:c r="I1384" s="392"/>
      <x:c r="J1384" t="str">
        <x:f>IF($B1384="","",IF(COUNTIF(Account_Map!$A$6:$A$31,$B1384)&gt;0,"Mapped","UNMAPPED"))</x:f>
      </x:c>
    </x:row>
    <x:row r="1385">
      <x:c r="A1385" s="290"/>
      <x:c r="F1385" s="400"/>
      <x:c r="I1385" s="392"/>
      <x:c r="J1385" t="str">
        <x:f>IF($B1385="","",IF(COUNTIF(Account_Map!$A$6:$A$31,$B1385)&gt;0,"Mapped","UNMAPPED"))</x:f>
      </x:c>
    </x:row>
    <x:row r="1386">
      <x:c r="A1386" s="290"/>
      <x:c r="F1386" s="400"/>
      <x:c r="I1386" s="392"/>
      <x:c r="J1386" t="str">
        <x:f>IF($B1386="","",IF(COUNTIF(Account_Map!$A$6:$A$31,$B1386)&gt;0,"Mapped","UNMAPPED"))</x:f>
      </x:c>
    </x:row>
    <x:row r="1387">
      <x:c r="A1387" s="290"/>
      <x:c r="F1387" s="400"/>
      <x:c r="I1387" s="392"/>
      <x:c r="J1387" t="str">
        <x:f>IF($B1387="","",IF(COUNTIF(Account_Map!$A$6:$A$31,$B1387)&gt;0,"Mapped","UNMAPPED"))</x:f>
      </x:c>
    </x:row>
    <x:row r="1388">
      <x:c r="A1388" s="290"/>
      <x:c r="F1388" s="400"/>
      <x:c r="I1388" s="392"/>
      <x:c r="J1388" t="str">
        <x:f>IF($B1388="","",IF(COUNTIF(Account_Map!$A$6:$A$31,$B1388)&gt;0,"Mapped","UNMAPPED"))</x:f>
      </x:c>
    </x:row>
    <x:row r="1389">
      <x:c r="A1389" s="290"/>
      <x:c r="F1389" s="400"/>
      <x:c r="I1389" s="392"/>
      <x:c r="J1389" t="str">
        <x:f>IF($B1389="","",IF(COUNTIF(Account_Map!$A$6:$A$31,$B1389)&gt;0,"Mapped","UNMAPPED"))</x:f>
      </x:c>
    </x:row>
    <x:row r="1390">
      <x:c r="A1390" s="290"/>
      <x:c r="F1390" s="400"/>
      <x:c r="I1390" s="392"/>
      <x:c r="J1390" t="str">
        <x:f>IF($B1390="","",IF(COUNTIF(Account_Map!$A$6:$A$31,$B1390)&gt;0,"Mapped","UNMAPPED"))</x:f>
      </x:c>
    </x:row>
    <x:row r="1391">
      <x:c r="A1391" s="290"/>
      <x:c r="F1391" s="400"/>
      <x:c r="I1391" s="392"/>
      <x:c r="J1391" t="str">
        <x:f>IF($B1391="","",IF(COUNTIF(Account_Map!$A$6:$A$31,$B1391)&gt;0,"Mapped","UNMAPPED"))</x:f>
      </x:c>
    </x:row>
    <x:row r="1392">
      <x:c r="A1392" s="290"/>
      <x:c r="F1392" s="400"/>
      <x:c r="I1392" s="392"/>
      <x:c r="J1392" t="str">
        <x:f>IF($B1392="","",IF(COUNTIF(Account_Map!$A$6:$A$31,$B1392)&gt;0,"Mapped","UNMAPPED"))</x:f>
      </x:c>
    </x:row>
    <x:row r="1393">
      <x:c r="A1393" s="290"/>
      <x:c r="F1393" s="400"/>
      <x:c r="I1393" s="392"/>
      <x:c r="J1393" t="str">
        <x:f>IF($B1393="","",IF(COUNTIF(Account_Map!$A$6:$A$31,$B1393)&gt;0,"Mapped","UNMAPPED"))</x:f>
      </x:c>
    </x:row>
    <x:row r="1394">
      <x:c r="A1394" s="290"/>
      <x:c r="F1394" s="400"/>
      <x:c r="I1394" s="392"/>
      <x:c r="J1394" t="str">
        <x:f>IF($B1394="","",IF(COUNTIF(Account_Map!$A$6:$A$31,$B1394)&gt;0,"Mapped","UNMAPPED"))</x:f>
      </x:c>
    </x:row>
    <x:row r="1395">
      <x:c r="A1395" s="290"/>
      <x:c r="F1395" s="400"/>
      <x:c r="I1395" s="392"/>
      <x:c r="J1395" t="str">
        <x:f>IF($B1395="","",IF(COUNTIF(Account_Map!$A$6:$A$31,$B1395)&gt;0,"Mapped","UNMAPPED"))</x:f>
      </x:c>
    </x:row>
    <x:row r="1396">
      <x:c r="A1396" s="290"/>
      <x:c r="F1396" s="400"/>
      <x:c r="I1396" s="392"/>
      <x:c r="J1396" t="str">
        <x:f>IF($B1396="","",IF(COUNTIF(Account_Map!$A$6:$A$31,$B1396)&gt;0,"Mapped","UNMAPPED"))</x:f>
      </x:c>
    </x:row>
    <x:row r="1397">
      <x:c r="A1397" s="290"/>
      <x:c r="F1397" s="400"/>
      <x:c r="I1397" s="392"/>
      <x:c r="J1397" t="str">
        <x:f>IF($B1397="","",IF(COUNTIF(Account_Map!$A$6:$A$31,$B1397)&gt;0,"Mapped","UNMAPPED"))</x:f>
      </x:c>
    </x:row>
    <x:row r="1398">
      <x:c r="A1398" s="290"/>
      <x:c r="F1398" s="400"/>
      <x:c r="I1398" s="392"/>
      <x:c r="J1398" t="str">
        <x:f>IF($B1398="","",IF(COUNTIF(Account_Map!$A$6:$A$31,$B1398)&gt;0,"Mapped","UNMAPPED"))</x:f>
      </x:c>
    </x:row>
    <x:row r="1399">
      <x:c r="A1399" s="290"/>
      <x:c r="F1399" s="400"/>
      <x:c r="I1399" s="392"/>
      <x:c r="J1399" t="str">
        <x:f>IF($B1399="","",IF(COUNTIF(Account_Map!$A$6:$A$31,$B1399)&gt;0,"Mapped","UNMAPPED"))</x:f>
      </x:c>
    </x:row>
    <x:row r="1400">
      <x:c r="A1400" s="290"/>
      <x:c r="F1400" s="400"/>
      <x:c r="I1400" s="392"/>
      <x:c r="J1400" t="str">
        <x:f>IF($B1400="","",IF(COUNTIF(Account_Map!$A$6:$A$31,$B1400)&gt;0,"Mapped","UNMAPPED"))</x:f>
      </x:c>
    </x:row>
    <x:row r="1401">
      <x:c r="A1401" s="290"/>
      <x:c r="F1401" s="400"/>
      <x:c r="I1401" s="392"/>
      <x:c r="J1401" t="str">
        <x:f>IF($B1401="","",IF(COUNTIF(Account_Map!$A$6:$A$31,$B1401)&gt;0,"Mapped","UNMAPPED"))</x:f>
      </x:c>
    </x:row>
    <x:row r="1402">
      <x:c r="A1402" s="290"/>
      <x:c r="F1402" s="400"/>
      <x:c r="I1402" s="392"/>
      <x:c r="J1402" t="str">
        <x:f>IF($B1402="","",IF(COUNTIF(Account_Map!$A$6:$A$31,$B1402)&gt;0,"Mapped","UNMAPPED"))</x:f>
      </x:c>
    </x:row>
    <x:row r="1403">
      <x:c r="A1403" s="290"/>
      <x:c r="F1403" s="400"/>
      <x:c r="I1403" s="392"/>
      <x:c r="J1403" t="str">
        <x:f>IF($B1403="","",IF(COUNTIF(Account_Map!$A$6:$A$31,$B1403)&gt;0,"Mapped","UNMAPPED"))</x:f>
      </x:c>
    </x:row>
    <x:row r="1404">
      <x:c r="A1404" s="290"/>
      <x:c r="F1404" s="400"/>
      <x:c r="I1404" s="392"/>
      <x:c r="J1404" t="str">
        <x:f>IF($B1404="","",IF(COUNTIF(Account_Map!$A$6:$A$31,$B1404)&gt;0,"Mapped","UNMAPPED"))</x:f>
      </x:c>
    </x:row>
    <x:row r="1405">
      <x:c r="A1405" s="290"/>
      <x:c r="F1405" s="400"/>
      <x:c r="I1405" s="392"/>
      <x:c r="J1405" t="str">
        <x:f>IF($B1405="","",IF(COUNTIF(Account_Map!$A$6:$A$31,$B1405)&gt;0,"Mapped","UNMAPPED"))</x:f>
      </x:c>
    </x:row>
    <x:row r="1406">
      <x:c r="A1406" s="290"/>
      <x:c r="F1406" s="400"/>
      <x:c r="I1406" s="392"/>
      <x:c r="J1406" t="str">
        <x:f>IF($B1406="","",IF(COUNTIF(Account_Map!$A$6:$A$31,$B1406)&gt;0,"Mapped","UNMAPPED"))</x:f>
      </x:c>
    </x:row>
    <x:row r="1407">
      <x:c r="A1407" s="290"/>
      <x:c r="F1407" s="400"/>
      <x:c r="I1407" s="392"/>
      <x:c r="J1407" t="str">
        <x:f>IF($B1407="","",IF(COUNTIF(Account_Map!$A$6:$A$31,$B1407)&gt;0,"Mapped","UNMAPPED"))</x:f>
      </x:c>
    </x:row>
    <x:row r="1408">
      <x:c r="A1408" s="290"/>
      <x:c r="F1408" s="400"/>
      <x:c r="I1408" s="392"/>
      <x:c r="J1408" t="str">
        <x:f>IF($B1408="","",IF(COUNTIF(Account_Map!$A$6:$A$31,$B1408)&gt;0,"Mapped","UNMAPPED"))</x:f>
      </x:c>
    </x:row>
    <x:row r="1409">
      <x:c r="A1409" s="290"/>
      <x:c r="F1409" s="400"/>
      <x:c r="I1409" s="392"/>
      <x:c r="J1409" t="str">
        <x:f>IF($B1409="","",IF(COUNTIF(Account_Map!$A$6:$A$31,$B1409)&gt;0,"Mapped","UNMAPPED"))</x:f>
      </x:c>
    </x:row>
    <x:row r="1410">
      <x:c r="A1410" s="290"/>
      <x:c r="F1410" s="400"/>
      <x:c r="I1410" s="392"/>
      <x:c r="J1410" t="str">
        <x:f>IF($B1410="","",IF(COUNTIF(Account_Map!$A$6:$A$31,$B1410)&gt;0,"Mapped","UNMAPPED"))</x:f>
      </x:c>
    </x:row>
    <x:row r="1411">
      <x:c r="A1411" s="290"/>
      <x:c r="F1411" s="400"/>
      <x:c r="I1411" s="392"/>
      <x:c r="J1411" t="str">
        <x:f>IF($B1411="","",IF(COUNTIF(Account_Map!$A$6:$A$31,$B1411)&gt;0,"Mapped","UNMAPPED"))</x:f>
      </x:c>
    </x:row>
    <x:row r="1412">
      <x:c r="A1412" s="290"/>
      <x:c r="F1412" s="400"/>
      <x:c r="I1412" s="392"/>
      <x:c r="J1412" t="str">
        <x:f>IF($B1412="","",IF(COUNTIF(Account_Map!$A$6:$A$31,$B1412)&gt;0,"Mapped","UNMAPPED"))</x:f>
      </x:c>
    </x:row>
    <x:row r="1413">
      <x:c r="A1413" s="290"/>
      <x:c r="F1413" s="400"/>
      <x:c r="I1413" s="392"/>
      <x:c r="J1413" t="str">
        <x:f>IF($B1413="","",IF(COUNTIF(Account_Map!$A$6:$A$31,$B1413)&gt;0,"Mapped","UNMAPPED"))</x:f>
      </x:c>
    </x:row>
    <x:row r="1414">
      <x:c r="A1414" s="290"/>
      <x:c r="F1414" s="400"/>
      <x:c r="I1414" s="392"/>
      <x:c r="J1414" t="str">
        <x:f>IF($B1414="","",IF(COUNTIF(Account_Map!$A$6:$A$31,$B1414)&gt;0,"Mapped","UNMAPPED"))</x:f>
      </x:c>
    </x:row>
    <x:row r="1415">
      <x:c r="A1415" s="290"/>
      <x:c r="F1415" s="400"/>
      <x:c r="I1415" s="392"/>
      <x:c r="J1415" t="str">
        <x:f>IF($B1415="","",IF(COUNTIF(Account_Map!$A$6:$A$31,$B1415)&gt;0,"Mapped","UNMAPPED"))</x:f>
      </x:c>
    </x:row>
    <x:row r="1416">
      <x:c r="A1416" s="290"/>
      <x:c r="F1416" s="400"/>
      <x:c r="I1416" s="392"/>
      <x:c r="J1416" t="str">
        <x:f>IF($B1416="","",IF(COUNTIF(Account_Map!$A$6:$A$31,$B1416)&gt;0,"Mapped","UNMAPPED"))</x:f>
      </x:c>
    </x:row>
    <x:row r="1417">
      <x:c r="A1417" s="290"/>
      <x:c r="F1417" s="400"/>
      <x:c r="I1417" s="392"/>
      <x:c r="J1417" t="str">
        <x:f>IF($B1417="","",IF(COUNTIF(Account_Map!$A$6:$A$31,$B1417)&gt;0,"Mapped","UNMAPPED"))</x:f>
      </x:c>
    </x:row>
    <x:row r="1418">
      <x:c r="A1418" s="290"/>
      <x:c r="F1418" s="400"/>
      <x:c r="I1418" s="392"/>
      <x:c r="J1418" t="str">
        <x:f>IF($B1418="","",IF(COUNTIF(Account_Map!$A$6:$A$31,$B1418)&gt;0,"Mapped","UNMAPPED"))</x:f>
      </x:c>
    </x:row>
    <x:row r="1419">
      <x:c r="A1419" s="290"/>
      <x:c r="F1419" s="400"/>
      <x:c r="I1419" s="392"/>
      <x:c r="J1419" t="str">
        <x:f>IF($B1419="","",IF(COUNTIF(Account_Map!$A$6:$A$31,$B1419)&gt;0,"Mapped","UNMAPPED"))</x:f>
      </x:c>
    </x:row>
    <x:row r="1420">
      <x:c r="A1420" s="290"/>
      <x:c r="F1420" s="400"/>
      <x:c r="I1420" s="392"/>
      <x:c r="J1420" t="str">
        <x:f>IF($B1420="","",IF(COUNTIF(Account_Map!$A$6:$A$31,$B1420)&gt;0,"Mapped","UNMAPPED"))</x:f>
      </x:c>
    </x:row>
    <x:row r="1421">
      <x:c r="A1421" s="290"/>
      <x:c r="F1421" s="400"/>
      <x:c r="I1421" s="392"/>
      <x:c r="J1421" t="str">
        <x:f>IF($B1421="","",IF(COUNTIF(Account_Map!$A$6:$A$31,$B1421)&gt;0,"Mapped","UNMAPPED"))</x:f>
      </x:c>
    </x:row>
    <x:row r="1422">
      <x:c r="A1422" s="290"/>
      <x:c r="F1422" s="400"/>
      <x:c r="I1422" s="392"/>
      <x:c r="J1422" t="str">
        <x:f>IF($B1422="","",IF(COUNTIF(Account_Map!$A$6:$A$31,$B1422)&gt;0,"Mapped","UNMAPPED"))</x:f>
      </x:c>
    </x:row>
    <x:row r="1423">
      <x:c r="A1423" s="290"/>
      <x:c r="F1423" s="400"/>
      <x:c r="I1423" s="392"/>
      <x:c r="J1423" t="str">
        <x:f>IF($B1423="","",IF(COUNTIF(Account_Map!$A$6:$A$31,$B1423)&gt;0,"Mapped","UNMAPPED"))</x:f>
      </x:c>
    </x:row>
    <x:row r="1424">
      <x:c r="A1424" s="290"/>
      <x:c r="F1424" s="400"/>
      <x:c r="I1424" s="392"/>
      <x:c r="J1424" t="str">
        <x:f>IF($B1424="","",IF(COUNTIF(Account_Map!$A$6:$A$31,$B1424)&gt;0,"Mapped","UNMAPPED"))</x:f>
      </x:c>
    </x:row>
    <x:row r="1425">
      <x:c r="A1425" s="290"/>
      <x:c r="F1425" s="400"/>
      <x:c r="I1425" s="392"/>
      <x:c r="J1425" t="str">
        <x:f>IF($B1425="","",IF(COUNTIF(Account_Map!$A$6:$A$31,$B1425)&gt;0,"Mapped","UNMAPPED"))</x:f>
      </x:c>
    </x:row>
    <x:row r="1426">
      <x:c r="A1426" s="290"/>
      <x:c r="F1426" s="400"/>
      <x:c r="I1426" s="392"/>
      <x:c r="J1426" t="str">
        <x:f>IF($B1426="","",IF(COUNTIF(Account_Map!$A$6:$A$31,$B1426)&gt;0,"Mapped","UNMAPPED"))</x:f>
      </x:c>
    </x:row>
    <x:row r="1427">
      <x:c r="A1427" s="290"/>
      <x:c r="F1427" s="400"/>
      <x:c r="I1427" s="392"/>
      <x:c r="J1427" t="str">
        <x:f>IF($B1427="","",IF(COUNTIF(Account_Map!$A$6:$A$31,$B1427)&gt;0,"Mapped","UNMAPPED"))</x:f>
      </x:c>
    </x:row>
    <x:row r="1428">
      <x:c r="A1428" s="290"/>
      <x:c r="F1428" s="400"/>
      <x:c r="I1428" s="392"/>
      <x:c r="J1428" t="str">
        <x:f>IF($B1428="","",IF(COUNTIF(Account_Map!$A$6:$A$31,$B1428)&gt;0,"Mapped","UNMAPPED"))</x:f>
      </x:c>
    </x:row>
    <x:row r="1429">
      <x:c r="A1429" s="290"/>
      <x:c r="F1429" s="400"/>
      <x:c r="I1429" s="392"/>
      <x:c r="J1429" t="str">
        <x:f>IF($B1429="","",IF(COUNTIF(Account_Map!$A$6:$A$31,$B1429)&gt;0,"Mapped","UNMAPPED"))</x:f>
      </x:c>
    </x:row>
    <x:row r="1430">
      <x:c r="A1430" s="290"/>
      <x:c r="F1430" s="400"/>
      <x:c r="I1430" s="392"/>
      <x:c r="J1430" t="str">
        <x:f>IF($B1430="","",IF(COUNTIF(Account_Map!$A$6:$A$31,$B1430)&gt;0,"Mapped","UNMAPPED"))</x:f>
      </x:c>
    </x:row>
    <x:row r="1431">
      <x:c r="A1431" s="290"/>
      <x:c r="F1431" s="400"/>
      <x:c r="I1431" s="392"/>
      <x:c r="J1431" t="str">
        <x:f>IF($B1431="","",IF(COUNTIF(Account_Map!$A$6:$A$31,$B1431)&gt;0,"Mapped","UNMAPPED"))</x:f>
      </x:c>
    </x:row>
    <x:row r="1432">
      <x:c r="A1432" s="290"/>
      <x:c r="F1432" s="400"/>
      <x:c r="I1432" s="392"/>
      <x:c r="J1432" t="str">
        <x:f>IF($B1432="","",IF(COUNTIF(Account_Map!$A$6:$A$31,$B1432)&gt;0,"Mapped","UNMAPPED"))</x:f>
      </x:c>
    </x:row>
    <x:row r="1433">
      <x:c r="A1433" s="290"/>
      <x:c r="F1433" s="400"/>
      <x:c r="I1433" s="392"/>
      <x:c r="J1433" t="str">
        <x:f>IF($B1433="","",IF(COUNTIF(Account_Map!$A$6:$A$31,$B1433)&gt;0,"Mapped","UNMAPPED"))</x:f>
      </x:c>
    </x:row>
    <x:row r="1434">
      <x:c r="A1434" s="290"/>
      <x:c r="F1434" s="400"/>
      <x:c r="I1434" s="392"/>
      <x:c r="J1434" t="str">
        <x:f>IF($B1434="","",IF(COUNTIF(Account_Map!$A$6:$A$31,$B1434)&gt;0,"Mapped","UNMAPPED"))</x:f>
      </x:c>
    </x:row>
    <x:row r="1435">
      <x:c r="A1435" s="290"/>
      <x:c r="F1435" s="400"/>
      <x:c r="I1435" s="392"/>
      <x:c r="J1435" t="str">
        <x:f>IF($B1435="","",IF(COUNTIF(Account_Map!$A$6:$A$31,$B1435)&gt;0,"Mapped","UNMAPPED"))</x:f>
      </x:c>
    </x:row>
    <x:row r="1436">
      <x:c r="A1436" s="290"/>
      <x:c r="F1436" s="400"/>
      <x:c r="I1436" s="392"/>
      <x:c r="J1436" t="str">
        <x:f>IF($B1436="","",IF(COUNTIF(Account_Map!$A$6:$A$31,$B1436)&gt;0,"Mapped","UNMAPPED"))</x:f>
      </x:c>
    </x:row>
    <x:row r="1437">
      <x:c r="A1437" s="290"/>
      <x:c r="F1437" s="400"/>
      <x:c r="I1437" s="392"/>
      <x:c r="J1437" t="str">
        <x:f>IF($B1437="","",IF(COUNTIF(Account_Map!$A$6:$A$31,$B1437)&gt;0,"Mapped","UNMAPPED"))</x:f>
      </x:c>
    </x:row>
    <x:row r="1438">
      <x:c r="A1438" s="290"/>
      <x:c r="F1438" s="400"/>
      <x:c r="I1438" s="392"/>
      <x:c r="J1438" t="str">
        <x:f>IF($B1438="","",IF(COUNTIF(Account_Map!$A$6:$A$31,$B1438)&gt;0,"Mapped","UNMAPPED"))</x:f>
      </x:c>
    </x:row>
    <x:row r="1439">
      <x:c r="A1439" s="290"/>
      <x:c r="F1439" s="400"/>
      <x:c r="I1439" s="392"/>
      <x:c r="J1439" t="str">
        <x:f>IF($B1439="","",IF(COUNTIF(Account_Map!$A$6:$A$31,$B1439)&gt;0,"Mapped","UNMAPPED"))</x:f>
      </x:c>
    </x:row>
    <x:row r="1440">
      <x:c r="A1440" s="290"/>
      <x:c r="F1440" s="400"/>
      <x:c r="I1440" s="392"/>
      <x:c r="J1440" t="str">
        <x:f>IF($B1440="","",IF(COUNTIF(Account_Map!$A$6:$A$31,$B1440)&gt;0,"Mapped","UNMAPPED"))</x:f>
      </x:c>
    </x:row>
    <x:row r="1441">
      <x:c r="A1441" s="290"/>
      <x:c r="F1441" s="400"/>
      <x:c r="I1441" s="392"/>
      <x:c r="J1441" t="str">
        <x:f>IF($B1441="","",IF(COUNTIF(Account_Map!$A$6:$A$31,$B1441)&gt;0,"Mapped","UNMAPPED"))</x:f>
      </x:c>
    </x:row>
    <x:row r="1442">
      <x:c r="A1442" s="290"/>
      <x:c r="F1442" s="400"/>
      <x:c r="I1442" s="392"/>
      <x:c r="J1442" t="str">
        <x:f>IF($B1442="","",IF(COUNTIF(Account_Map!$A$6:$A$31,$B1442)&gt;0,"Mapped","UNMAPPED"))</x:f>
      </x:c>
    </x:row>
    <x:row r="1443">
      <x:c r="A1443" s="290"/>
      <x:c r="F1443" s="400"/>
      <x:c r="I1443" s="392"/>
      <x:c r="J1443" t="str">
        <x:f>IF($B1443="","",IF(COUNTIF(Account_Map!$A$6:$A$31,$B1443)&gt;0,"Mapped","UNMAPPED"))</x:f>
      </x:c>
    </x:row>
    <x:row r="1444">
      <x:c r="A1444" s="290"/>
      <x:c r="F1444" s="400"/>
      <x:c r="I1444" s="392"/>
      <x:c r="J1444" t="str">
        <x:f>IF($B1444="","",IF(COUNTIF(Account_Map!$A$6:$A$31,$B1444)&gt;0,"Mapped","UNMAPPED"))</x:f>
      </x:c>
    </x:row>
    <x:row r="1445">
      <x:c r="A1445" s="290"/>
      <x:c r="F1445" s="400"/>
      <x:c r="I1445" s="392"/>
      <x:c r="J1445" t="str">
        <x:f>IF($B1445="","",IF(COUNTIF(Account_Map!$A$6:$A$31,$B1445)&gt;0,"Mapped","UNMAPPED"))</x:f>
      </x:c>
    </x:row>
    <x:row r="1446">
      <x:c r="A1446" s="290"/>
      <x:c r="F1446" s="400"/>
      <x:c r="I1446" s="392"/>
      <x:c r="J1446" t="str">
        <x:f>IF($B1446="","",IF(COUNTIF(Account_Map!$A$6:$A$31,$B1446)&gt;0,"Mapped","UNMAPPED"))</x:f>
      </x:c>
    </x:row>
    <x:row r="1447">
      <x:c r="A1447" s="290"/>
      <x:c r="F1447" s="400"/>
      <x:c r="I1447" s="392"/>
      <x:c r="J1447" t="str">
        <x:f>IF($B1447="","",IF(COUNTIF(Account_Map!$A$6:$A$31,$B1447)&gt;0,"Mapped","UNMAPPED"))</x:f>
      </x:c>
    </x:row>
    <x:row r="1448">
      <x:c r="A1448" s="290"/>
      <x:c r="F1448" s="400"/>
      <x:c r="I1448" s="392"/>
      <x:c r="J1448" t="str">
        <x:f>IF($B1448="","",IF(COUNTIF(Account_Map!$A$6:$A$31,$B1448)&gt;0,"Mapped","UNMAPPED"))</x:f>
      </x:c>
    </x:row>
    <x:row r="1449">
      <x:c r="A1449" s="290"/>
      <x:c r="F1449" s="400"/>
      <x:c r="I1449" s="392"/>
      <x:c r="J1449" t="str">
        <x:f>IF($B1449="","",IF(COUNTIF(Account_Map!$A$6:$A$31,$B1449)&gt;0,"Mapped","UNMAPPED"))</x:f>
      </x:c>
    </x:row>
    <x:row r="1450">
      <x:c r="A1450" s="290"/>
      <x:c r="F1450" s="400"/>
      <x:c r="I1450" s="392"/>
      <x:c r="J1450" t="str">
        <x:f>IF($B1450="","",IF(COUNTIF(Account_Map!$A$6:$A$31,$B1450)&gt;0,"Mapped","UNMAPPED"))</x:f>
      </x:c>
    </x:row>
    <x:row r="1451">
      <x:c r="A1451" s="290"/>
      <x:c r="F1451" s="400"/>
      <x:c r="I1451" s="392"/>
      <x:c r="J1451" t="str">
        <x:f>IF($B1451="","",IF(COUNTIF(Account_Map!$A$6:$A$31,$B1451)&gt;0,"Mapped","UNMAPPED"))</x:f>
      </x:c>
    </x:row>
    <x:row r="1452">
      <x:c r="A1452" s="290"/>
      <x:c r="F1452" s="400"/>
      <x:c r="I1452" s="392"/>
      <x:c r="J1452" t="str">
        <x:f>IF($B1452="","",IF(COUNTIF(Account_Map!$A$6:$A$31,$B1452)&gt;0,"Mapped","UNMAPPED"))</x:f>
      </x:c>
    </x:row>
    <x:row r="1453">
      <x:c r="A1453" s="290"/>
      <x:c r="F1453" s="400"/>
      <x:c r="I1453" s="392"/>
      <x:c r="J1453" t="str">
        <x:f>IF($B1453="","",IF(COUNTIF(Account_Map!$A$6:$A$31,$B1453)&gt;0,"Mapped","UNMAPPED"))</x:f>
      </x:c>
    </x:row>
    <x:row r="1454">
      <x:c r="A1454" s="290"/>
      <x:c r="F1454" s="400"/>
      <x:c r="I1454" s="392"/>
      <x:c r="J1454" t="str">
        <x:f>IF($B1454="","",IF(COUNTIF(Account_Map!$A$6:$A$31,$B1454)&gt;0,"Mapped","UNMAPPED"))</x:f>
      </x:c>
    </x:row>
    <x:row r="1455">
      <x:c r="A1455" s="290"/>
      <x:c r="F1455" s="400"/>
      <x:c r="I1455" s="392"/>
      <x:c r="J1455" t="str">
        <x:f>IF($B1455="","",IF(COUNTIF(Account_Map!$A$6:$A$31,$B1455)&gt;0,"Mapped","UNMAPPED"))</x:f>
      </x:c>
    </x:row>
    <x:row r="1456">
      <x:c r="A1456" s="290"/>
      <x:c r="F1456" s="400"/>
      <x:c r="I1456" s="392"/>
      <x:c r="J1456" t="str">
        <x:f>IF($B1456="","",IF(COUNTIF(Account_Map!$A$6:$A$31,$B1456)&gt;0,"Mapped","UNMAPPED"))</x:f>
      </x:c>
    </x:row>
    <x:row r="1457">
      <x:c r="A1457" s="290"/>
      <x:c r="F1457" s="400"/>
      <x:c r="I1457" s="392"/>
      <x:c r="J1457" t="str">
        <x:f>IF($B1457="","",IF(COUNTIF(Account_Map!$A$6:$A$31,$B1457)&gt;0,"Mapped","UNMAPPED"))</x:f>
      </x:c>
    </x:row>
    <x:row r="1458">
      <x:c r="A1458" s="290"/>
      <x:c r="F1458" s="400"/>
      <x:c r="I1458" s="392"/>
      <x:c r="J1458" t="str">
        <x:f>IF($B1458="","",IF(COUNTIF(Account_Map!$A$6:$A$31,$B1458)&gt;0,"Mapped","UNMAPPED"))</x:f>
      </x:c>
    </x:row>
    <x:row r="1459">
      <x:c r="A1459" s="290"/>
      <x:c r="F1459" s="400"/>
      <x:c r="I1459" s="392"/>
      <x:c r="J1459" t="str">
        <x:f>IF($B1459="","",IF(COUNTIF(Account_Map!$A$6:$A$31,$B1459)&gt;0,"Mapped","UNMAPPED"))</x:f>
      </x:c>
    </x:row>
    <x:row r="1460">
      <x:c r="A1460" s="290"/>
      <x:c r="F1460" s="400"/>
      <x:c r="I1460" s="392"/>
      <x:c r="J1460" t="str">
        <x:f>IF($B1460="","",IF(COUNTIF(Account_Map!$A$6:$A$31,$B1460)&gt;0,"Mapped","UNMAPPED"))</x:f>
      </x:c>
    </x:row>
    <x:row r="1461">
      <x:c r="A1461" s="290"/>
      <x:c r="F1461" s="400"/>
      <x:c r="I1461" s="392"/>
      <x:c r="J1461" t="str">
        <x:f>IF($B1461="","",IF(COUNTIF(Account_Map!$A$6:$A$31,$B1461)&gt;0,"Mapped","UNMAPPED"))</x:f>
      </x:c>
    </x:row>
    <x:row r="1462">
      <x:c r="A1462" s="290"/>
      <x:c r="F1462" s="400"/>
      <x:c r="I1462" s="392"/>
      <x:c r="J1462" t="str">
        <x:f>IF($B1462="","",IF(COUNTIF(Account_Map!$A$6:$A$31,$B1462)&gt;0,"Mapped","UNMAPPED"))</x:f>
      </x:c>
    </x:row>
    <x:row r="1463">
      <x:c r="A1463" s="290"/>
      <x:c r="F1463" s="400"/>
      <x:c r="I1463" s="392"/>
      <x:c r="J1463" t="str">
        <x:f>IF($B1463="","",IF(COUNTIF(Account_Map!$A$6:$A$31,$B1463)&gt;0,"Mapped","UNMAPPED"))</x:f>
      </x:c>
    </x:row>
    <x:row r="1464">
      <x:c r="A1464" s="290"/>
      <x:c r="F1464" s="400"/>
      <x:c r="I1464" s="392"/>
      <x:c r="J1464" t="str">
        <x:f>IF($B1464="","",IF(COUNTIF(Account_Map!$A$6:$A$31,$B1464)&gt;0,"Mapped","UNMAPPED"))</x:f>
      </x:c>
    </x:row>
    <x:row r="1465">
      <x:c r="A1465" s="290"/>
      <x:c r="F1465" s="400"/>
      <x:c r="I1465" s="392"/>
      <x:c r="J1465" t="str">
        <x:f>IF($B1465="","",IF(COUNTIF(Account_Map!$A$6:$A$31,$B1465)&gt;0,"Mapped","UNMAPPED"))</x:f>
      </x:c>
    </x:row>
    <x:row r="1466">
      <x:c r="A1466" s="290"/>
      <x:c r="F1466" s="400"/>
      <x:c r="I1466" s="392"/>
      <x:c r="J1466" t="str">
        <x:f>IF($B1466="","",IF(COUNTIF(Account_Map!$A$6:$A$31,$B1466)&gt;0,"Mapped","UNMAPPED"))</x:f>
      </x:c>
    </x:row>
    <x:row r="1467">
      <x:c r="A1467" s="290"/>
      <x:c r="F1467" s="400"/>
      <x:c r="I1467" s="392"/>
      <x:c r="J1467" t="str">
        <x:f>IF($B1467="","",IF(COUNTIF(Account_Map!$A$6:$A$31,$B1467)&gt;0,"Mapped","UNMAPPED"))</x:f>
      </x:c>
    </x:row>
    <x:row r="1468">
      <x:c r="A1468" s="290"/>
      <x:c r="F1468" s="400"/>
      <x:c r="I1468" s="392"/>
      <x:c r="J1468" t="str">
        <x:f>IF($B1468="","",IF(COUNTIF(Account_Map!$A$6:$A$31,$B1468)&gt;0,"Mapped","UNMAPPED"))</x:f>
      </x:c>
    </x:row>
    <x:row r="1469">
      <x:c r="A1469" s="290"/>
      <x:c r="F1469" s="400"/>
      <x:c r="I1469" s="392"/>
      <x:c r="J1469" t="str">
        <x:f>IF($B1469="","",IF(COUNTIF(Account_Map!$A$6:$A$31,$B1469)&gt;0,"Mapped","UNMAPPED"))</x:f>
      </x:c>
    </x:row>
    <x:row r="1470">
      <x:c r="A1470" s="290"/>
      <x:c r="F1470" s="400"/>
      <x:c r="I1470" s="392"/>
      <x:c r="J1470" t="str">
        <x:f>IF($B1470="","",IF(COUNTIF(Account_Map!$A$6:$A$31,$B1470)&gt;0,"Mapped","UNMAPPED"))</x:f>
      </x:c>
    </x:row>
    <x:row r="1471">
      <x:c r="A1471" s="290"/>
      <x:c r="F1471" s="400"/>
      <x:c r="I1471" s="392"/>
      <x:c r="J1471" t="str">
        <x:f>IF($B1471="","",IF(COUNTIF(Account_Map!$A$6:$A$31,$B1471)&gt;0,"Mapped","UNMAPPED"))</x:f>
      </x:c>
    </x:row>
    <x:row r="1472">
      <x:c r="A1472" s="290"/>
      <x:c r="F1472" s="400"/>
      <x:c r="I1472" s="392"/>
      <x:c r="J1472" t="str">
        <x:f>IF($B1472="","",IF(COUNTIF(Account_Map!$A$6:$A$31,$B1472)&gt;0,"Mapped","UNMAPPED"))</x:f>
      </x:c>
    </x:row>
    <x:row r="1473">
      <x:c r="A1473" s="290"/>
      <x:c r="F1473" s="400"/>
      <x:c r="I1473" s="392"/>
      <x:c r="J1473" t="str">
        <x:f>IF($B1473="","",IF(COUNTIF(Account_Map!$A$6:$A$31,$B1473)&gt;0,"Mapped","UNMAPPED"))</x:f>
      </x:c>
    </x:row>
    <x:row r="1474">
      <x:c r="A1474" s="290"/>
      <x:c r="F1474" s="400"/>
      <x:c r="I1474" s="392"/>
      <x:c r="J1474" t="str">
        <x:f>IF($B1474="","",IF(COUNTIF(Account_Map!$A$6:$A$31,$B1474)&gt;0,"Mapped","UNMAPPED"))</x:f>
      </x:c>
    </x:row>
    <x:row r="1475">
      <x:c r="A1475" s="290"/>
      <x:c r="F1475" s="400"/>
      <x:c r="I1475" s="392"/>
      <x:c r="J1475" t="str">
        <x:f>IF($B1475="","",IF(COUNTIF(Account_Map!$A$6:$A$31,$B1475)&gt;0,"Mapped","UNMAPPED"))</x:f>
      </x:c>
    </x:row>
    <x:row r="1476">
      <x:c r="A1476" s="290"/>
      <x:c r="F1476" s="400"/>
      <x:c r="I1476" s="392"/>
      <x:c r="J1476" t="str">
        <x:f>IF($B1476="","",IF(COUNTIF(Account_Map!$A$6:$A$31,$B1476)&gt;0,"Mapped","UNMAPPED"))</x:f>
      </x:c>
    </x:row>
    <x:row r="1477">
      <x:c r="A1477" s="290"/>
      <x:c r="F1477" s="400"/>
      <x:c r="I1477" s="392"/>
      <x:c r="J1477" t="str">
        <x:f>IF($B1477="","",IF(COUNTIF(Account_Map!$A$6:$A$31,$B1477)&gt;0,"Mapped","UNMAPPED"))</x:f>
      </x:c>
    </x:row>
    <x:row r="1478">
      <x:c r="A1478" s="290"/>
      <x:c r="F1478" s="400"/>
      <x:c r="I1478" s="392"/>
      <x:c r="J1478" t="str">
        <x:f>IF($B1478="","",IF(COUNTIF(Account_Map!$A$6:$A$31,$B1478)&gt;0,"Mapped","UNMAPPED"))</x:f>
      </x:c>
    </x:row>
    <x:row r="1479">
      <x:c r="A1479" s="290"/>
      <x:c r="F1479" s="400"/>
      <x:c r="I1479" s="392"/>
      <x:c r="J1479" t="str">
        <x:f>IF($B1479="","",IF(COUNTIF(Account_Map!$A$6:$A$31,$B1479)&gt;0,"Mapped","UNMAPPED"))</x:f>
      </x:c>
    </x:row>
    <x:row r="1480">
      <x:c r="A1480" s="290"/>
      <x:c r="F1480" s="400"/>
      <x:c r="I1480" s="392"/>
      <x:c r="J1480" t="str">
        <x:f>IF($B1480="","",IF(COUNTIF(Account_Map!$A$6:$A$31,$B1480)&gt;0,"Mapped","UNMAPPED"))</x:f>
      </x:c>
    </x:row>
    <x:row r="1481">
      <x:c r="A1481" s="290"/>
      <x:c r="F1481" s="400"/>
      <x:c r="I1481" s="392"/>
      <x:c r="J1481" t="str">
        <x:f>IF($B1481="","",IF(COUNTIF(Account_Map!$A$6:$A$31,$B1481)&gt;0,"Mapped","UNMAPPED"))</x:f>
      </x:c>
    </x:row>
    <x:row r="1482">
      <x:c r="A1482" s="290"/>
      <x:c r="F1482" s="400"/>
      <x:c r="I1482" s="392"/>
      <x:c r="J1482" t="str">
        <x:f>IF($B1482="","",IF(COUNTIF(Account_Map!$A$6:$A$31,$B1482)&gt;0,"Mapped","UNMAPPED"))</x:f>
      </x:c>
    </x:row>
    <x:row r="1483">
      <x:c r="A1483" s="290"/>
      <x:c r="F1483" s="400"/>
      <x:c r="I1483" s="392"/>
      <x:c r="J1483" t="str">
        <x:f>IF($B1483="","",IF(COUNTIF(Account_Map!$A$6:$A$31,$B1483)&gt;0,"Mapped","UNMAPPED"))</x:f>
      </x:c>
    </x:row>
    <x:row r="1484">
      <x:c r="A1484" s="290"/>
      <x:c r="F1484" s="400"/>
      <x:c r="I1484" s="392"/>
      <x:c r="J1484" t="str">
        <x:f>IF($B1484="","",IF(COUNTIF(Account_Map!$A$6:$A$31,$B1484)&gt;0,"Mapped","UNMAPPED"))</x:f>
      </x:c>
    </x:row>
    <x:row r="1485">
      <x:c r="A1485" s="290"/>
      <x:c r="F1485" s="400"/>
      <x:c r="I1485" s="392"/>
      <x:c r="J1485" t="str">
        <x:f>IF($B1485="","",IF(COUNTIF(Account_Map!$A$6:$A$31,$B1485)&gt;0,"Mapped","UNMAPPED"))</x:f>
      </x:c>
    </x:row>
    <x:row r="1486">
      <x:c r="A1486" s="290"/>
      <x:c r="F1486" s="400"/>
      <x:c r="I1486" s="392"/>
      <x:c r="J1486" t="str">
        <x:f>IF($B1486="","",IF(COUNTIF(Account_Map!$A$6:$A$31,$B1486)&gt;0,"Mapped","UNMAPPED"))</x:f>
      </x:c>
    </x:row>
    <x:row r="1487">
      <x:c r="A1487" s="290"/>
      <x:c r="F1487" s="400"/>
      <x:c r="I1487" s="392"/>
      <x:c r="J1487" t="str">
        <x:f>IF($B1487="","",IF(COUNTIF(Account_Map!$A$6:$A$31,$B1487)&gt;0,"Mapped","UNMAPPED"))</x:f>
      </x:c>
    </x:row>
    <x:row r="1488">
      <x:c r="A1488" s="290"/>
      <x:c r="F1488" s="400"/>
      <x:c r="I1488" s="392"/>
      <x:c r="J1488" t="str">
        <x:f>IF($B1488="","",IF(COUNTIF(Account_Map!$A$6:$A$31,$B1488)&gt;0,"Mapped","UNMAPPED"))</x:f>
      </x:c>
    </x:row>
    <x:row r="1489">
      <x:c r="A1489" s="290"/>
      <x:c r="F1489" s="400"/>
      <x:c r="I1489" s="392"/>
      <x:c r="J1489" t="str">
        <x:f>IF($B1489="","",IF(COUNTIF(Account_Map!$A$6:$A$31,$B1489)&gt;0,"Mapped","UNMAPPED"))</x:f>
      </x:c>
    </x:row>
    <x:row r="1490">
      <x:c r="A1490" s="290"/>
      <x:c r="F1490" s="400"/>
      <x:c r="I1490" s="392"/>
      <x:c r="J1490" t="str">
        <x:f>IF($B1490="","",IF(COUNTIF(Account_Map!$A$6:$A$31,$B1490)&gt;0,"Mapped","UNMAPPED"))</x:f>
      </x:c>
    </x:row>
    <x:row r="1491">
      <x:c r="A1491" s="290"/>
      <x:c r="F1491" s="400"/>
      <x:c r="I1491" s="392"/>
      <x:c r="J1491" t="str">
        <x:f>IF($B1491="","",IF(COUNTIF(Account_Map!$A$6:$A$31,$B1491)&gt;0,"Mapped","UNMAPPED"))</x:f>
      </x:c>
    </x:row>
    <x:row r="1492">
      <x:c r="A1492" s="290"/>
      <x:c r="F1492" s="400"/>
      <x:c r="I1492" s="392"/>
      <x:c r="J1492" t="str">
        <x:f>IF($B1492="","",IF(COUNTIF(Account_Map!$A$6:$A$31,$B1492)&gt;0,"Mapped","UNMAPPED"))</x:f>
      </x:c>
    </x:row>
    <x:row r="1493">
      <x:c r="A1493" s="290"/>
      <x:c r="F1493" s="400"/>
      <x:c r="I1493" s="392"/>
      <x:c r="J1493" t="str">
        <x:f>IF($B1493="","",IF(COUNTIF(Account_Map!$A$6:$A$31,$B1493)&gt;0,"Mapped","UNMAPPED"))</x:f>
      </x:c>
    </x:row>
    <x:row r="1494">
      <x:c r="A1494" s="290"/>
      <x:c r="F1494" s="400"/>
      <x:c r="I1494" s="392"/>
      <x:c r="J1494" t="str">
        <x:f>IF($B1494="","",IF(COUNTIF(Account_Map!$A$6:$A$31,$B1494)&gt;0,"Mapped","UNMAPPED"))</x:f>
      </x:c>
    </x:row>
    <x:row r="1495">
      <x:c r="A1495" s="290"/>
      <x:c r="F1495" s="400"/>
      <x:c r="I1495" s="392"/>
      <x:c r="J1495" t="str">
        <x:f>IF($B1495="","",IF(COUNTIF(Account_Map!$A$6:$A$31,$B1495)&gt;0,"Mapped","UNMAPPED"))</x:f>
      </x:c>
    </x:row>
    <x:row r="1496">
      <x:c r="A1496" s="290"/>
      <x:c r="F1496" s="400"/>
      <x:c r="I1496" s="392"/>
      <x:c r="J1496" t="str">
        <x:f>IF($B1496="","",IF(COUNTIF(Account_Map!$A$6:$A$31,$B1496)&gt;0,"Mapped","UNMAPPED"))</x:f>
      </x:c>
    </x:row>
    <x:row r="1497">
      <x:c r="A1497" s="290"/>
      <x:c r="F1497" s="400"/>
      <x:c r="I1497" s="392"/>
      <x:c r="J1497" t="str">
        <x:f>IF($B1497="","",IF(COUNTIF(Account_Map!$A$6:$A$31,$B1497)&gt;0,"Mapped","UNMAPPED"))</x:f>
      </x:c>
    </x:row>
    <x:row r="1498">
      <x:c r="A1498" s="290"/>
      <x:c r="F1498" s="400"/>
      <x:c r="I1498" s="392"/>
      <x:c r="J1498" t="str">
        <x:f>IF($B1498="","",IF(COUNTIF(Account_Map!$A$6:$A$31,$B1498)&gt;0,"Mapped","UNMAPPED"))</x:f>
      </x:c>
    </x:row>
    <x:row r="1499">
      <x:c r="A1499" s="290"/>
      <x:c r="F1499" s="400"/>
      <x:c r="I1499" s="392"/>
      <x:c r="J1499" t="str">
        <x:f>IF($B1499="","",IF(COUNTIF(Account_Map!$A$6:$A$31,$B1499)&gt;0,"Mapped","UNMAPPED"))</x:f>
      </x:c>
    </x:row>
    <x:row r="1500">
      <x:c r="A1500" s="290"/>
      <x:c r="F1500" s="400"/>
      <x:c r="I1500" s="392"/>
      <x:c r="J1500" t="str">
        <x:f>IF($B1500="","",IF(COUNTIF(Account_Map!$A$6:$A$31,$B1500)&gt;0,"Mapped","UNMAPPED"))</x:f>
      </x:c>
    </x:row>
    <x:row r="1501">
      <x:c r="A1501" s="290"/>
      <x:c r="F1501" s="400"/>
      <x:c r="I1501" s="392"/>
      <x:c r="J1501" t="str">
        <x:f>IF($B1501="","",IF(COUNTIF(Account_Map!$A$6:$A$31,$B1501)&gt;0,"Mapped","UNMAPPED"))</x:f>
      </x:c>
    </x:row>
    <x:row r="1502">
      <x:c r="A1502" s="290"/>
      <x:c r="F1502" s="400"/>
      <x:c r="I1502" s="392"/>
      <x:c r="J1502" t="str">
        <x:f>IF($B1502="","",IF(COUNTIF(Account_Map!$A$6:$A$31,$B1502)&gt;0,"Mapped","UNMAPPED"))</x:f>
      </x:c>
    </x:row>
    <x:row r="1503">
      <x:c r="A1503" s="290"/>
      <x:c r="F1503" s="400"/>
      <x:c r="I1503" s="392"/>
      <x:c r="J1503" t="str">
        <x:f>IF($B1503="","",IF(COUNTIF(Account_Map!$A$6:$A$31,$B1503)&gt;0,"Mapped","UNMAPPED"))</x:f>
      </x:c>
    </x:row>
    <x:row r="1504">
      <x:c r="A1504" s="290"/>
      <x:c r="F1504" s="400"/>
      <x:c r="I1504" s="392"/>
      <x:c r="J1504" t="str">
        <x:f>IF($B1504="","",IF(COUNTIF(Account_Map!$A$6:$A$31,$B1504)&gt;0,"Mapped","UNMAPPED"))</x:f>
      </x:c>
    </x:row>
    <x:row r="1505">
      <x:c r="A1505" s="290"/>
      <x:c r="F1505" s="400"/>
      <x:c r="I1505" s="392"/>
      <x:c r="J1505" t="str">
        <x:f>IF($B1505="","",IF(COUNTIF(Account_Map!$A$6:$A$31,$B1505)&gt;0,"Mapped","UNMAPPED"))</x:f>
      </x:c>
    </x:row>
    <x:row r="1506">
      <x:c r="A1506" s="290"/>
      <x:c r="F1506" s="400"/>
      <x:c r="I1506" s="392"/>
      <x:c r="J1506" t="str">
        <x:f>IF($B1506="","",IF(COUNTIF(Account_Map!$A$6:$A$31,$B1506)&gt;0,"Mapped","UNMAPPED"))</x:f>
      </x:c>
    </x:row>
    <x:row r="1507">
      <x:c r="A1507" s="290"/>
      <x:c r="F1507" s="400"/>
      <x:c r="I1507" s="392"/>
      <x:c r="J1507" t="str">
        <x:f>IF($B1507="","",IF(COUNTIF(Account_Map!$A$6:$A$31,$B1507)&gt;0,"Mapped","UNMAPPED"))</x:f>
      </x:c>
    </x:row>
    <x:row r="1508">
      <x:c r="A1508" s="290"/>
      <x:c r="F1508" s="400"/>
      <x:c r="I1508" s="392"/>
      <x:c r="J1508" t="str">
        <x:f>IF($B1508="","",IF(COUNTIF(Account_Map!$A$6:$A$31,$B1508)&gt;0,"Mapped","UNMAPPED"))</x:f>
      </x:c>
    </x:row>
    <x:row r="1509">
      <x:c r="A1509" s="290"/>
      <x:c r="F1509" s="400"/>
      <x:c r="I1509" s="392"/>
      <x:c r="J1509" t="str">
        <x:f>IF($B1509="","",IF(COUNTIF(Account_Map!$A$6:$A$31,$B1509)&gt;0,"Mapped","UNMAPPED"))</x:f>
      </x:c>
    </x:row>
    <x:row r="1510">
      <x:c r="A1510" s="290"/>
      <x:c r="F1510" s="400"/>
      <x:c r="I1510" s="392"/>
      <x:c r="J1510" t="str">
        <x:f>IF($B1510="","",IF(COUNTIF(Account_Map!$A$6:$A$31,$B1510)&gt;0,"Mapped","UNMAPPED"))</x:f>
      </x:c>
    </x:row>
    <x:row r="1511">
      <x:c r="A1511" s="290"/>
      <x:c r="F1511" s="400"/>
      <x:c r="I1511" s="392"/>
      <x:c r="J1511" t="str">
        <x:f>IF($B1511="","",IF(COUNTIF(Account_Map!$A$6:$A$31,$B1511)&gt;0,"Mapped","UNMAPPED"))</x:f>
      </x:c>
    </x:row>
    <x:row r="1512">
      <x:c r="A1512" s="290"/>
      <x:c r="F1512" s="400"/>
      <x:c r="I1512" s="392"/>
      <x:c r="J1512" t="str">
        <x:f>IF($B1512="","",IF(COUNTIF(Account_Map!$A$6:$A$31,$B1512)&gt;0,"Mapped","UNMAPPED"))</x:f>
      </x:c>
    </x:row>
    <x:row r="1513">
      <x:c r="A1513" s="290"/>
      <x:c r="F1513" s="400"/>
      <x:c r="I1513" s="392"/>
      <x:c r="J1513" t="str">
        <x:f>IF($B1513="","",IF(COUNTIF(Account_Map!$A$6:$A$31,$B1513)&gt;0,"Mapped","UNMAPPED"))</x:f>
      </x:c>
    </x:row>
    <x:row r="1514">
      <x:c r="A1514" s="290"/>
      <x:c r="F1514" s="400"/>
      <x:c r="I1514" s="392"/>
      <x:c r="J1514" t="str">
        <x:f>IF($B1514="","",IF(COUNTIF(Account_Map!$A$6:$A$31,$B1514)&gt;0,"Mapped","UNMAPPED"))</x:f>
      </x:c>
    </x:row>
    <x:row r="1515">
      <x:c r="A1515" s="290"/>
      <x:c r="F1515" s="400"/>
      <x:c r="I1515" s="392"/>
      <x:c r="J1515" t="str">
        <x:f>IF($B1515="","",IF(COUNTIF(Account_Map!$A$6:$A$31,$B1515)&gt;0,"Mapped","UNMAPPED"))</x:f>
      </x:c>
    </x:row>
    <x:row r="1516">
      <x:c r="A1516" s="290"/>
      <x:c r="F1516" s="400"/>
      <x:c r="I1516" s="392"/>
      <x:c r="J1516" t="str">
        <x:f>IF($B1516="","",IF(COUNTIF(Account_Map!$A$6:$A$31,$B1516)&gt;0,"Mapped","UNMAPPED"))</x:f>
      </x:c>
    </x:row>
    <x:row r="1517">
      <x:c r="A1517" s="290"/>
      <x:c r="F1517" s="400"/>
      <x:c r="I1517" s="392"/>
      <x:c r="J1517" t="str">
        <x:f>IF($B1517="","",IF(COUNTIF(Account_Map!$A$6:$A$31,$B1517)&gt;0,"Mapped","UNMAPPED"))</x:f>
      </x:c>
    </x:row>
    <x:row r="1518">
      <x:c r="A1518" s="290"/>
      <x:c r="F1518" s="400"/>
      <x:c r="I1518" s="392"/>
      <x:c r="J1518" t="str">
        <x:f>IF($B1518="","",IF(COUNTIF(Account_Map!$A$6:$A$31,$B1518)&gt;0,"Mapped","UNMAPPED"))</x:f>
      </x:c>
    </x:row>
    <x:row r="1519">
      <x:c r="A1519" s="290"/>
      <x:c r="F1519" s="400"/>
      <x:c r="I1519" s="392"/>
      <x:c r="J1519" t="str">
        <x:f>IF($B1519="","",IF(COUNTIF(Account_Map!$A$6:$A$31,$B1519)&gt;0,"Mapped","UNMAPPED"))</x:f>
      </x:c>
    </x:row>
    <x:row r="1520">
      <x:c r="A1520" s="290"/>
      <x:c r="F1520" s="400"/>
      <x:c r="I1520" s="392"/>
      <x:c r="J1520" t="str">
        <x:f>IF($B1520="","",IF(COUNTIF(Account_Map!$A$6:$A$31,$B1520)&gt;0,"Mapped","UNMAPPED"))</x:f>
      </x:c>
    </x:row>
    <x:row r="1521">
      <x:c r="A1521" s="290"/>
      <x:c r="F1521" s="400"/>
      <x:c r="I1521" s="392"/>
      <x:c r="J1521" t="str">
        <x:f>IF($B1521="","",IF(COUNTIF(Account_Map!$A$6:$A$31,$B1521)&gt;0,"Mapped","UNMAPPED"))</x:f>
      </x:c>
    </x:row>
    <x:row r="1522">
      <x:c r="A1522" s="290"/>
      <x:c r="F1522" s="400"/>
      <x:c r="I1522" s="392"/>
      <x:c r="J1522" t="str">
        <x:f>IF($B1522="","",IF(COUNTIF(Account_Map!$A$6:$A$31,$B1522)&gt;0,"Mapped","UNMAPPED"))</x:f>
      </x:c>
    </x:row>
    <x:row r="1523">
      <x:c r="A1523" s="290"/>
      <x:c r="F1523" s="400"/>
      <x:c r="I1523" s="392"/>
      <x:c r="J1523" t="str">
        <x:f>IF($B1523="","",IF(COUNTIF(Account_Map!$A$6:$A$31,$B1523)&gt;0,"Mapped","UNMAPPED"))</x:f>
      </x:c>
    </x:row>
    <x:row r="1524">
      <x:c r="A1524" s="290"/>
      <x:c r="F1524" s="400"/>
      <x:c r="I1524" s="392"/>
      <x:c r="J1524" t="str">
        <x:f>IF($B1524="","",IF(COUNTIF(Account_Map!$A$6:$A$31,$B1524)&gt;0,"Mapped","UNMAPPED"))</x:f>
      </x:c>
    </x:row>
    <x:row r="1525">
      <x:c r="A1525" s="290"/>
      <x:c r="F1525" s="400"/>
      <x:c r="I1525" s="392"/>
      <x:c r="J1525" t="str">
        <x:f>IF($B1525="","",IF(COUNTIF(Account_Map!$A$6:$A$31,$B1525)&gt;0,"Mapped","UNMAPPED"))</x:f>
      </x:c>
    </x:row>
    <x:row r="1526">
      <x:c r="A1526" s="290"/>
      <x:c r="F1526" s="400"/>
      <x:c r="I1526" s="392"/>
      <x:c r="J1526" t="str">
        <x:f>IF($B1526="","",IF(COUNTIF(Account_Map!$A$6:$A$31,$B1526)&gt;0,"Mapped","UNMAPPED"))</x:f>
      </x:c>
    </x:row>
    <x:row r="1527">
      <x:c r="A1527" s="290"/>
      <x:c r="F1527" s="400"/>
      <x:c r="I1527" s="392"/>
      <x:c r="J1527" t="str">
        <x:f>IF($B1527="","",IF(COUNTIF(Account_Map!$A$6:$A$31,$B1527)&gt;0,"Mapped","UNMAPPED"))</x:f>
      </x:c>
    </x:row>
    <x:row r="1528">
      <x:c r="A1528" s="290"/>
      <x:c r="F1528" s="400"/>
      <x:c r="I1528" s="392"/>
      <x:c r="J1528" t="str">
        <x:f>IF($B1528="","",IF(COUNTIF(Account_Map!$A$6:$A$31,$B1528)&gt;0,"Mapped","UNMAPPED"))</x:f>
      </x:c>
    </x:row>
    <x:row r="1529">
      <x:c r="A1529" s="290"/>
      <x:c r="F1529" s="400"/>
      <x:c r="I1529" s="392"/>
      <x:c r="J1529" t="str">
        <x:f>IF($B1529="","",IF(COUNTIF(Account_Map!$A$6:$A$31,$B1529)&gt;0,"Mapped","UNMAPPED"))</x:f>
      </x:c>
    </x:row>
    <x:row r="1530">
      <x:c r="A1530" s="290"/>
      <x:c r="F1530" s="400"/>
      <x:c r="I1530" s="392"/>
      <x:c r="J1530" t="str">
        <x:f>IF($B1530="","",IF(COUNTIF(Account_Map!$A$6:$A$31,$B1530)&gt;0,"Mapped","UNMAPPED"))</x:f>
      </x:c>
    </x:row>
    <x:row r="1531">
      <x:c r="A1531" s="290"/>
      <x:c r="F1531" s="400"/>
      <x:c r="I1531" s="392"/>
      <x:c r="J1531" t="str">
        <x:f>IF($B1531="","",IF(COUNTIF(Account_Map!$A$6:$A$31,$B1531)&gt;0,"Mapped","UNMAPPED"))</x:f>
      </x:c>
    </x:row>
    <x:row r="1532">
      <x:c r="A1532" s="290"/>
      <x:c r="F1532" s="400"/>
      <x:c r="I1532" s="392"/>
      <x:c r="J1532" t="str">
        <x:f>IF($B1532="","",IF(COUNTIF(Account_Map!$A$6:$A$31,$B1532)&gt;0,"Mapped","UNMAPPED"))</x:f>
      </x:c>
    </x:row>
    <x:row r="1533">
      <x:c r="A1533" s="290"/>
      <x:c r="F1533" s="400"/>
      <x:c r="I1533" s="392"/>
      <x:c r="J1533" t="str">
        <x:f>IF($B1533="","",IF(COUNTIF(Account_Map!$A$6:$A$31,$B1533)&gt;0,"Mapped","UNMAPPED"))</x:f>
      </x:c>
    </x:row>
    <x:row r="1534">
      <x:c r="A1534" s="290"/>
      <x:c r="F1534" s="400"/>
      <x:c r="I1534" s="392"/>
      <x:c r="J1534" t="str">
        <x:f>IF($B1534="","",IF(COUNTIF(Account_Map!$A$6:$A$31,$B1534)&gt;0,"Mapped","UNMAPPED"))</x:f>
      </x:c>
    </x:row>
    <x:row r="1535">
      <x:c r="A1535" s="290"/>
      <x:c r="F1535" s="400"/>
      <x:c r="I1535" s="392"/>
      <x:c r="J1535" t="str">
        <x:f>IF($B1535="","",IF(COUNTIF(Account_Map!$A$6:$A$31,$B1535)&gt;0,"Mapped","UNMAPPED"))</x:f>
      </x:c>
    </x:row>
    <x:row r="1536">
      <x:c r="A1536" s="290"/>
      <x:c r="F1536" s="400"/>
      <x:c r="I1536" s="392"/>
      <x:c r="J1536" t="str">
        <x:f>IF($B1536="","",IF(COUNTIF(Account_Map!$A$6:$A$31,$B1536)&gt;0,"Mapped","UNMAPPED"))</x:f>
      </x:c>
    </x:row>
    <x:row r="1537">
      <x:c r="A1537" s="290"/>
      <x:c r="F1537" s="400"/>
      <x:c r="I1537" s="392"/>
      <x:c r="J1537" t="str">
        <x:f>IF($B1537="","",IF(COUNTIF(Account_Map!$A$6:$A$31,$B1537)&gt;0,"Mapped","UNMAPPED"))</x:f>
      </x:c>
    </x:row>
    <x:row r="1538">
      <x:c r="A1538" s="290"/>
      <x:c r="F1538" s="400"/>
      <x:c r="I1538" s="392"/>
      <x:c r="J1538" t="str">
        <x:f>IF($B1538="","",IF(COUNTIF(Account_Map!$A$6:$A$31,$B1538)&gt;0,"Mapped","UNMAPPED"))</x:f>
      </x:c>
    </x:row>
    <x:row r="1539">
      <x:c r="A1539" s="290"/>
      <x:c r="F1539" s="400"/>
      <x:c r="I1539" s="392"/>
      <x:c r="J1539" t="str">
        <x:f>IF($B1539="","",IF(COUNTIF(Account_Map!$A$6:$A$31,$B1539)&gt;0,"Mapped","UNMAPPED"))</x:f>
      </x:c>
    </x:row>
    <x:row r="1540">
      <x:c r="A1540" s="290"/>
      <x:c r="F1540" s="400"/>
      <x:c r="I1540" s="392"/>
      <x:c r="J1540" t="str">
        <x:f>IF($B1540="","",IF(COUNTIF(Account_Map!$A$6:$A$31,$B1540)&gt;0,"Mapped","UNMAPPED"))</x:f>
      </x:c>
    </x:row>
    <x:row r="1541">
      <x:c r="A1541" s="290"/>
      <x:c r="F1541" s="400"/>
      <x:c r="I1541" s="392"/>
      <x:c r="J1541" t="str">
        <x:f>IF($B1541="","",IF(COUNTIF(Account_Map!$A$6:$A$31,$B1541)&gt;0,"Mapped","UNMAPPED"))</x:f>
      </x:c>
    </x:row>
    <x:row r="1542">
      <x:c r="A1542" s="290"/>
      <x:c r="F1542" s="400"/>
      <x:c r="I1542" s="392"/>
      <x:c r="J1542" t="str">
        <x:f>IF($B1542="","",IF(COUNTIF(Account_Map!$A$6:$A$31,$B1542)&gt;0,"Mapped","UNMAPPED"))</x:f>
      </x:c>
    </x:row>
    <x:row r="1543">
      <x:c r="A1543" s="290"/>
      <x:c r="F1543" s="400"/>
      <x:c r="I1543" s="392"/>
      <x:c r="J1543" t="str">
        <x:f>IF($B1543="","",IF(COUNTIF(Account_Map!$A$6:$A$31,$B1543)&gt;0,"Mapped","UNMAPPED"))</x:f>
      </x:c>
    </x:row>
    <x:row r="1544">
      <x:c r="A1544" s="290"/>
      <x:c r="F1544" s="400"/>
      <x:c r="I1544" s="392"/>
      <x:c r="J1544" t="str">
        <x:f>IF($B1544="","",IF(COUNTIF(Account_Map!$A$6:$A$31,$B1544)&gt;0,"Mapped","UNMAPPED"))</x:f>
      </x:c>
    </x:row>
    <x:row r="1545">
      <x:c r="A1545" s="290"/>
      <x:c r="F1545" s="400"/>
      <x:c r="I1545" s="392"/>
      <x:c r="J1545" t="str">
        <x:f>IF($B1545="","",IF(COUNTIF(Account_Map!$A$6:$A$31,$B1545)&gt;0,"Mapped","UNMAPPED"))</x:f>
      </x:c>
    </x:row>
    <x:row r="1546">
      <x:c r="A1546" s="290"/>
      <x:c r="F1546" s="400"/>
      <x:c r="I1546" s="392"/>
      <x:c r="J1546" t="str">
        <x:f>IF($B1546="","",IF(COUNTIF(Account_Map!$A$6:$A$31,$B1546)&gt;0,"Mapped","UNMAPPED"))</x:f>
      </x:c>
    </x:row>
    <x:row r="1547">
      <x:c r="A1547" s="290"/>
      <x:c r="F1547" s="400"/>
      <x:c r="I1547" s="392"/>
      <x:c r="J1547" t="str">
        <x:f>IF($B1547="","",IF(COUNTIF(Account_Map!$A$6:$A$31,$B1547)&gt;0,"Mapped","UNMAPPED"))</x:f>
      </x:c>
    </x:row>
    <x:row r="1548">
      <x:c r="A1548" s="290"/>
      <x:c r="F1548" s="400"/>
      <x:c r="I1548" s="392"/>
      <x:c r="J1548" t="str">
        <x:f>IF($B1548="","",IF(COUNTIF(Account_Map!$A$6:$A$31,$B1548)&gt;0,"Mapped","UNMAPPED"))</x:f>
      </x:c>
    </x:row>
    <x:row r="1549">
      <x:c r="A1549" s="290"/>
      <x:c r="F1549" s="400"/>
      <x:c r="I1549" s="392"/>
      <x:c r="J1549" t="str">
        <x:f>IF($B1549="","",IF(COUNTIF(Account_Map!$A$6:$A$31,$B1549)&gt;0,"Mapped","UNMAPPED"))</x:f>
      </x:c>
    </x:row>
    <x:row r="1550">
      <x:c r="A1550" s="290"/>
      <x:c r="F1550" s="400"/>
      <x:c r="I1550" s="392"/>
      <x:c r="J1550" t="str">
        <x:f>IF($B1550="","",IF(COUNTIF(Account_Map!$A$6:$A$31,$B1550)&gt;0,"Mapped","UNMAPPED"))</x:f>
      </x:c>
    </x:row>
    <x:row r="1551">
      <x:c r="A1551" s="290"/>
      <x:c r="F1551" s="400"/>
      <x:c r="I1551" s="392"/>
      <x:c r="J1551" t="str">
        <x:f>IF($B1551="","",IF(COUNTIF(Account_Map!$A$6:$A$31,$B1551)&gt;0,"Mapped","UNMAPPED"))</x:f>
      </x:c>
    </x:row>
    <x:row r="1552">
      <x:c r="A1552" s="290"/>
      <x:c r="F1552" s="400"/>
      <x:c r="I1552" s="392"/>
      <x:c r="J1552" t="str">
        <x:f>IF($B1552="","",IF(COUNTIF(Account_Map!$A$6:$A$31,$B1552)&gt;0,"Mapped","UNMAPPED"))</x:f>
      </x:c>
    </x:row>
    <x:row r="1553">
      <x:c r="A1553" s="290"/>
      <x:c r="F1553" s="400"/>
      <x:c r="I1553" s="392"/>
      <x:c r="J1553" t="str">
        <x:f>IF($B1553="","",IF(COUNTIF(Account_Map!$A$6:$A$31,$B1553)&gt;0,"Mapped","UNMAPPED"))</x:f>
      </x:c>
    </x:row>
    <x:row r="1554">
      <x:c r="A1554" s="290"/>
      <x:c r="F1554" s="400"/>
      <x:c r="I1554" s="392"/>
      <x:c r="J1554" t="str">
        <x:f>IF($B1554="","",IF(COUNTIF(Account_Map!$A$6:$A$31,$B1554)&gt;0,"Mapped","UNMAPPED"))</x:f>
      </x:c>
    </x:row>
    <x:row r="1555">
      <x:c r="A1555" s="290"/>
      <x:c r="F1555" s="400"/>
      <x:c r="I1555" s="392"/>
      <x:c r="J1555" t="str">
        <x:f>IF($B1555="","",IF(COUNTIF(Account_Map!$A$6:$A$31,$B1555)&gt;0,"Mapped","UNMAPPED"))</x:f>
      </x:c>
    </x:row>
    <x:row r="1556">
      <x:c r="A1556" s="290"/>
      <x:c r="F1556" s="400"/>
      <x:c r="I1556" s="392"/>
      <x:c r="J1556" t="str">
        <x:f>IF($B1556="","",IF(COUNTIF(Account_Map!$A$6:$A$31,$B1556)&gt;0,"Mapped","UNMAPPED"))</x:f>
      </x:c>
    </x:row>
    <x:row r="1557">
      <x:c r="A1557" s="290"/>
      <x:c r="F1557" s="400"/>
      <x:c r="I1557" s="392"/>
      <x:c r="J1557" t="str">
        <x:f>IF($B1557="","",IF(COUNTIF(Account_Map!$A$6:$A$31,$B1557)&gt;0,"Mapped","UNMAPPED"))</x:f>
      </x:c>
    </x:row>
    <x:row r="1558">
      <x:c r="A1558" s="290"/>
      <x:c r="F1558" s="400"/>
      <x:c r="I1558" s="392"/>
      <x:c r="J1558" t="str">
        <x:f>IF($B1558="","",IF(COUNTIF(Account_Map!$A$6:$A$31,$B1558)&gt;0,"Mapped","UNMAPPED"))</x:f>
      </x:c>
    </x:row>
    <x:row r="1559">
      <x:c r="A1559" s="290"/>
      <x:c r="F1559" s="400"/>
      <x:c r="I1559" s="392"/>
      <x:c r="J1559" t="str">
        <x:f>IF($B1559="","",IF(COUNTIF(Account_Map!$A$6:$A$31,$B1559)&gt;0,"Mapped","UNMAPPED"))</x:f>
      </x:c>
    </x:row>
    <x:row r="1560">
      <x:c r="A1560" s="290"/>
      <x:c r="F1560" s="400"/>
      <x:c r="I1560" s="392"/>
      <x:c r="J1560" t="str">
        <x:f>IF($B1560="","",IF(COUNTIF(Account_Map!$A$6:$A$31,$B1560)&gt;0,"Mapped","UNMAPPED"))</x:f>
      </x:c>
    </x:row>
    <x:row r="1561">
      <x:c r="A1561" s="290"/>
      <x:c r="F1561" s="400"/>
      <x:c r="I1561" s="392"/>
      <x:c r="J1561" t="str">
        <x:f>IF($B1561="","",IF(COUNTIF(Account_Map!$A$6:$A$31,$B1561)&gt;0,"Mapped","UNMAPPED"))</x:f>
      </x:c>
    </x:row>
    <x:row r="1562">
      <x:c r="A1562" s="290"/>
      <x:c r="F1562" s="400"/>
      <x:c r="I1562" s="392"/>
      <x:c r="J1562" t="str">
        <x:f>IF($B1562="","",IF(COUNTIF(Account_Map!$A$6:$A$31,$B1562)&gt;0,"Mapped","UNMAPPED"))</x:f>
      </x:c>
    </x:row>
    <x:row r="1563">
      <x:c r="A1563" s="290"/>
      <x:c r="F1563" s="400"/>
      <x:c r="I1563" s="392"/>
      <x:c r="J1563" t="str">
        <x:f>IF($B1563="","",IF(COUNTIF(Account_Map!$A$6:$A$31,$B1563)&gt;0,"Mapped","UNMAPPED"))</x:f>
      </x:c>
    </x:row>
    <x:row r="1564">
      <x:c r="A1564" s="290"/>
      <x:c r="F1564" s="400"/>
      <x:c r="I1564" s="392"/>
      <x:c r="J1564" t="str">
        <x:f>IF($B1564="","",IF(COUNTIF(Account_Map!$A$6:$A$31,$B1564)&gt;0,"Mapped","UNMAPPED"))</x:f>
      </x:c>
    </x:row>
    <x:row r="1565">
      <x:c r="A1565" s="290"/>
      <x:c r="F1565" s="400"/>
      <x:c r="I1565" s="392"/>
      <x:c r="J1565" t="str">
        <x:f>IF($B1565="","",IF(COUNTIF(Account_Map!$A$6:$A$31,$B1565)&gt;0,"Mapped","UNMAPPED"))</x:f>
      </x:c>
    </x:row>
    <x:row r="1566">
      <x:c r="A1566" s="290"/>
      <x:c r="F1566" s="400"/>
      <x:c r="I1566" s="392"/>
      <x:c r="J1566" t="str">
        <x:f>IF($B1566="","",IF(COUNTIF(Account_Map!$A$6:$A$31,$B1566)&gt;0,"Mapped","UNMAPPED"))</x:f>
      </x:c>
    </x:row>
    <x:row r="1567">
      <x:c r="A1567" s="290"/>
      <x:c r="F1567" s="400"/>
      <x:c r="I1567" s="392"/>
      <x:c r="J1567" t="str">
        <x:f>IF($B1567="","",IF(COUNTIF(Account_Map!$A$6:$A$31,$B1567)&gt;0,"Mapped","UNMAPPED"))</x:f>
      </x:c>
    </x:row>
    <x:row r="1568">
      <x:c r="A1568" s="290"/>
      <x:c r="F1568" s="400"/>
      <x:c r="I1568" s="392"/>
      <x:c r="J1568" t="str">
        <x:f>IF($B1568="","",IF(COUNTIF(Account_Map!$A$6:$A$31,$B1568)&gt;0,"Mapped","UNMAPPED"))</x:f>
      </x:c>
    </x:row>
    <x:row r="1569">
      <x:c r="A1569" s="290"/>
      <x:c r="F1569" s="400"/>
      <x:c r="I1569" s="392"/>
      <x:c r="J1569" t="str">
        <x:f>IF($B1569="","",IF(COUNTIF(Account_Map!$A$6:$A$31,$B1569)&gt;0,"Mapped","UNMAPPED"))</x:f>
      </x:c>
    </x:row>
    <x:row r="1570">
      <x:c r="A1570" s="290"/>
      <x:c r="F1570" s="400"/>
      <x:c r="I1570" s="392"/>
      <x:c r="J1570" t="str">
        <x:f>IF($B1570="","",IF(COUNTIF(Account_Map!$A$6:$A$31,$B1570)&gt;0,"Mapped","UNMAPPED"))</x:f>
      </x:c>
    </x:row>
    <x:row r="1571">
      <x:c r="A1571" s="290"/>
      <x:c r="F1571" s="400"/>
      <x:c r="I1571" s="392"/>
      <x:c r="J1571" t="str">
        <x:f>IF($B1571="","",IF(COUNTIF(Account_Map!$A$6:$A$31,$B1571)&gt;0,"Mapped","UNMAPPED"))</x:f>
      </x:c>
    </x:row>
    <x:row r="1572">
      <x:c r="A1572" s="290"/>
      <x:c r="F1572" s="400"/>
      <x:c r="I1572" s="392"/>
      <x:c r="J1572" t="str">
        <x:f>IF($B1572="","",IF(COUNTIF(Account_Map!$A$6:$A$31,$B1572)&gt;0,"Mapped","UNMAPPED"))</x:f>
      </x:c>
    </x:row>
    <x:row r="1573">
      <x:c r="A1573" s="290"/>
      <x:c r="F1573" s="400"/>
      <x:c r="I1573" s="392"/>
      <x:c r="J1573" t="str">
        <x:f>IF($B1573="","",IF(COUNTIF(Account_Map!$A$6:$A$31,$B1573)&gt;0,"Mapped","UNMAPPED"))</x:f>
      </x:c>
    </x:row>
    <x:row r="1574">
      <x:c r="A1574" s="290"/>
      <x:c r="F1574" s="400"/>
      <x:c r="I1574" s="392"/>
      <x:c r="J1574" t="str">
        <x:f>IF($B1574="","",IF(COUNTIF(Account_Map!$A$6:$A$31,$B1574)&gt;0,"Mapped","UNMAPPED"))</x:f>
      </x:c>
    </x:row>
    <x:row r="1575">
      <x:c r="A1575" s="290"/>
      <x:c r="F1575" s="400"/>
      <x:c r="I1575" s="392"/>
      <x:c r="J1575" t="str">
        <x:f>IF($B1575="","",IF(COUNTIF(Account_Map!$A$6:$A$31,$B1575)&gt;0,"Mapped","UNMAPPED"))</x:f>
      </x:c>
    </x:row>
    <x:row r="1576">
      <x:c r="A1576" s="290"/>
      <x:c r="F1576" s="400"/>
      <x:c r="I1576" s="392"/>
      <x:c r="J1576" t="str">
        <x:f>IF($B1576="","",IF(COUNTIF(Account_Map!$A$6:$A$31,$B1576)&gt;0,"Mapped","UNMAPPED"))</x:f>
      </x:c>
    </x:row>
    <x:row r="1577">
      <x:c r="A1577" s="290"/>
      <x:c r="F1577" s="400"/>
      <x:c r="I1577" s="392"/>
      <x:c r="J1577" t="str">
        <x:f>IF($B1577="","",IF(COUNTIF(Account_Map!$A$6:$A$31,$B1577)&gt;0,"Mapped","UNMAPPED"))</x:f>
      </x:c>
    </x:row>
    <x:row r="1578">
      <x:c r="A1578" s="290"/>
      <x:c r="F1578" s="400"/>
      <x:c r="I1578" s="392"/>
      <x:c r="J1578" t="str">
        <x:f>IF($B1578="","",IF(COUNTIF(Account_Map!$A$6:$A$31,$B1578)&gt;0,"Mapped","UNMAPPED"))</x:f>
      </x:c>
    </x:row>
    <x:row r="1579">
      <x:c r="A1579" s="290"/>
      <x:c r="F1579" s="400"/>
      <x:c r="I1579" s="392"/>
      <x:c r="J1579" t="str">
        <x:f>IF($B1579="","",IF(COUNTIF(Account_Map!$A$6:$A$31,$B1579)&gt;0,"Mapped","UNMAPPED"))</x:f>
      </x:c>
    </x:row>
    <x:row r="1580">
      <x:c r="A1580" s="290"/>
      <x:c r="F1580" s="400"/>
      <x:c r="I1580" s="392"/>
      <x:c r="J1580" t="str">
        <x:f>IF($B1580="","",IF(COUNTIF(Account_Map!$A$6:$A$31,$B1580)&gt;0,"Mapped","UNMAPPED"))</x:f>
      </x:c>
    </x:row>
    <x:row r="1581">
      <x:c r="A1581" s="290"/>
      <x:c r="F1581" s="400"/>
      <x:c r="I1581" s="392"/>
      <x:c r="J1581" t="str">
        <x:f>IF($B1581="","",IF(COUNTIF(Account_Map!$A$6:$A$31,$B1581)&gt;0,"Mapped","UNMAPPED"))</x:f>
      </x:c>
    </x:row>
    <x:row r="1582">
      <x:c r="A1582" s="290"/>
      <x:c r="F1582" s="400"/>
      <x:c r="I1582" s="392"/>
      <x:c r="J1582" t="str">
        <x:f>IF($B1582="","",IF(COUNTIF(Account_Map!$A$6:$A$31,$B1582)&gt;0,"Mapped","UNMAPPED"))</x:f>
      </x:c>
    </x:row>
    <x:row r="1583">
      <x:c r="A1583" s="290"/>
      <x:c r="F1583" s="400"/>
      <x:c r="I1583" s="392"/>
      <x:c r="J1583" t="str">
        <x:f>IF($B1583="","",IF(COUNTIF(Account_Map!$A$6:$A$31,$B1583)&gt;0,"Mapped","UNMAPPED"))</x:f>
      </x:c>
    </x:row>
    <x:row r="1584">
      <x:c r="A1584" s="290"/>
      <x:c r="F1584" s="400"/>
      <x:c r="I1584" s="392"/>
      <x:c r="J1584" t="str">
        <x:f>IF($B1584="","",IF(COUNTIF(Account_Map!$A$6:$A$31,$B1584)&gt;0,"Mapped","UNMAPPED"))</x:f>
      </x:c>
    </x:row>
    <x:row r="1585">
      <x:c r="A1585" s="290"/>
      <x:c r="F1585" s="400"/>
      <x:c r="I1585" s="392"/>
      <x:c r="J1585" t="str">
        <x:f>IF($B1585="","",IF(COUNTIF(Account_Map!$A$6:$A$31,$B1585)&gt;0,"Mapped","UNMAPPED"))</x:f>
      </x:c>
    </x:row>
    <x:row r="1586">
      <x:c r="A1586" s="290"/>
      <x:c r="F1586" s="400"/>
      <x:c r="I1586" s="392"/>
      <x:c r="J1586" t="str">
        <x:f>IF($B1586="","",IF(COUNTIF(Account_Map!$A$6:$A$31,$B1586)&gt;0,"Mapped","UNMAPPED"))</x:f>
      </x:c>
    </x:row>
    <x:row r="1587">
      <x:c r="A1587" s="290"/>
      <x:c r="F1587" s="400"/>
      <x:c r="I1587" s="392"/>
      <x:c r="J1587" t="str">
        <x:f>IF($B1587="","",IF(COUNTIF(Account_Map!$A$6:$A$31,$B1587)&gt;0,"Mapped","UNMAPPED"))</x:f>
      </x:c>
    </x:row>
    <x:row r="1588">
      <x:c r="A1588" s="290"/>
      <x:c r="F1588" s="400"/>
      <x:c r="I1588" s="392"/>
      <x:c r="J1588" t="str">
        <x:f>IF($B1588="","",IF(COUNTIF(Account_Map!$A$6:$A$31,$B1588)&gt;0,"Mapped","UNMAPPED"))</x:f>
      </x:c>
    </x:row>
    <x:row r="1589">
      <x:c r="A1589" s="290"/>
      <x:c r="F1589" s="400"/>
      <x:c r="I1589" s="392"/>
      <x:c r="J1589" t="str">
        <x:f>IF($B1589="","",IF(COUNTIF(Account_Map!$A$6:$A$31,$B1589)&gt;0,"Mapped","UNMAPPED"))</x:f>
      </x:c>
    </x:row>
    <x:row r="1590">
      <x:c r="A1590" s="290"/>
      <x:c r="F1590" s="400"/>
      <x:c r="I1590" s="392"/>
      <x:c r="J1590" t="str">
        <x:f>IF($B1590="","",IF(COUNTIF(Account_Map!$A$6:$A$31,$B1590)&gt;0,"Mapped","UNMAPPED"))</x:f>
      </x:c>
    </x:row>
    <x:row r="1591">
      <x:c r="A1591" s="290"/>
      <x:c r="F1591" s="400"/>
      <x:c r="I1591" s="392"/>
      <x:c r="J1591" t="str">
        <x:f>IF($B1591="","",IF(COUNTIF(Account_Map!$A$6:$A$31,$B1591)&gt;0,"Mapped","UNMAPPED"))</x:f>
      </x:c>
    </x:row>
    <x:row r="1592">
      <x:c r="A1592" s="290"/>
      <x:c r="F1592" s="400"/>
      <x:c r="I1592" s="392"/>
      <x:c r="J1592" t="str">
        <x:f>IF($B1592="","",IF(COUNTIF(Account_Map!$A$6:$A$31,$B1592)&gt;0,"Mapped","UNMAPPED"))</x:f>
      </x:c>
    </x:row>
    <x:row r="1593">
      <x:c r="A1593" s="290"/>
      <x:c r="F1593" s="400"/>
      <x:c r="I1593" s="392"/>
      <x:c r="J1593" t="str">
        <x:f>IF($B1593="","",IF(COUNTIF(Account_Map!$A$6:$A$31,$B1593)&gt;0,"Mapped","UNMAPPED"))</x:f>
      </x:c>
    </x:row>
    <x:row r="1594">
      <x:c r="A1594" s="290"/>
      <x:c r="F1594" s="400"/>
      <x:c r="I1594" s="392"/>
      <x:c r="J1594" t="str">
        <x:f>IF($B1594="","",IF(COUNTIF(Account_Map!$A$6:$A$31,$B1594)&gt;0,"Mapped","UNMAPPED"))</x:f>
      </x:c>
    </x:row>
    <x:row r="1595">
      <x:c r="A1595" s="290"/>
      <x:c r="F1595" s="400"/>
      <x:c r="I1595" s="392"/>
      <x:c r="J1595" t="str">
        <x:f>IF($B1595="","",IF(COUNTIF(Account_Map!$A$6:$A$31,$B1595)&gt;0,"Mapped","UNMAPPED"))</x:f>
      </x:c>
    </x:row>
    <x:row r="1596">
      <x:c r="A1596" s="290"/>
      <x:c r="F1596" s="400"/>
      <x:c r="I1596" s="392"/>
      <x:c r="J1596" t="str">
        <x:f>IF($B1596="","",IF(COUNTIF(Account_Map!$A$6:$A$31,$B1596)&gt;0,"Mapped","UNMAPPED"))</x:f>
      </x:c>
    </x:row>
    <x:row r="1597">
      <x:c r="A1597" s="290"/>
      <x:c r="F1597" s="400"/>
      <x:c r="I1597" s="392"/>
      <x:c r="J1597" t="str">
        <x:f>IF($B1597="","",IF(COUNTIF(Account_Map!$A$6:$A$31,$B1597)&gt;0,"Mapped","UNMAPPED"))</x:f>
      </x:c>
    </x:row>
    <x:row r="1598">
      <x:c r="A1598" s="290"/>
      <x:c r="F1598" s="400"/>
      <x:c r="I1598" s="392"/>
      <x:c r="J1598" t="str">
        <x:f>IF($B1598="","",IF(COUNTIF(Account_Map!$A$6:$A$31,$B1598)&gt;0,"Mapped","UNMAPPED"))</x:f>
      </x:c>
    </x:row>
    <x:row r="1599">
      <x:c r="A1599" s="290"/>
      <x:c r="F1599" s="400"/>
      <x:c r="I1599" s="392"/>
      <x:c r="J1599" t="str">
        <x:f>IF($B1599="","",IF(COUNTIF(Account_Map!$A$6:$A$31,$B1599)&gt;0,"Mapped","UNMAPPED"))</x:f>
      </x:c>
    </x:row>
    <x:row r="1600">
      <x:c r="A1600" s="290"/>
      <x:c r="F1600" s="400"/>
      <x:c r="I1600" s="392"/>
      <x:c r="J1600" t="str">
        <x:f>IF($B1600="","",IF(COUNTIF(Account_Map!$A$6:$A$31,$B1600)&gt;0,"Mapped","UNMAPPED"))</x:f>
      </x:c>
    </x:row>
    <x:row r="1601">
      <x:c r="A1601" s="290"/>
      <x:c r="F1601" s="400"/>
      <x:c r="I1601" s="392"/>
      <x:c r="J1601" t="str">
        <x:f>IF($B1601="","",IF(COUNTIF(Account_Map!$A$6:$A$31,$B1601)&gt;0,"Mapped","UNMAPPED"))</x:f>
      </x:c>
    </x:row>
    <x:row r="1602">
      <x:c r="A1602" s="290"/>
      <x:c r="F1602" s="400"/>
      <x:c r="I1602" s="392"/>
      <x:c r="J1602" t="str">
        <x:f>IF($B1602="","",IF(COUNTIF(Account_Map!$A$6:$A$31,$B1602)&gt;0,"Mapped","UNMAPPED"))</x:f>
      </x:c>
    </x:row>
    <x:row r="1603">
      <x:c r="A1603" s="290"/>
      <x:c r="F1603" s="400"/>
      <x:c r="I1603" s="392"/>
      <x:c r="J1603" t="str">
        <x:f>IF($B1603="","",IF(COUNTIF(Account_Map!$A$6:$A$31,$B1603)&gt;0,"Mapped","UNMAPPED"))</x:f>
      </x:c>
    </x:row>
    <x:row r="1604">
      <x:c r="A1604" s="290"/>
      <x:c r="F1604" s="400"/>
      <x:c r="I1604" s="392"/>
      <x:c r="J1604" t="str">
        <x:f>IF($B1604="","",IF(COUNTIF(Account_Map!$A$6:$A$31,$B1604)&gt;0,"Mapped","UNMAPPED"))</x:f>
      </x:c>
    </x:row>
    <x:row r="1605">
      <x:c r="A1605" s="290"/>
      <x:c r="F1605" s="400"/>
      <x:c r="I1605" s="392"/>
      <x:c r="J1605" t="str">
        <x:f>IF($B1605="","",IF(COUNTIF(Account_Map!$A$6:$A$31,$B1605)&gt;0,"Mapped","UNMAPPED"))</x:f>
      </x:c>
    </x:row>
    <x:row r="1606">
      <x:c r="A1606" s="290"/>
      <x:c r="F1606" s="400"/>
      <x:c r="I1606" s="392"/>
      <x:c r="J1606" t="str">
        <x:f>IF($B1606="","",IF(COUNTIF(Account_Map!$A$6:$A$31,$B1606)&gt;0,"Mapped","UNMAPPED"))</x:f>
      </x:c>
    </x:row>
    <x:row r="1607">
      <x:c r="A1607" s="290"/>
      <x:c r="F1607" s="400"/>
      <x:c r="I1607" s="392"/>
      <x:c r="J1607" t="str">
        <x:f>IF($B1607="","",IF(COUNTIF(Account_Map!$A$6:$A$31,$B1607)&gt;0,"Mapped","UNMAPPED"))</x:f>
      </x:c>
    </x:row>
    <x:row r="1608">
      <x:c r="A1608" s="290"/>
      <x:c r="F1608" s="400"/>
      <x:c r="I1608" s="392"/>
      <x:c r="J1608" t="str">
        <x:f>IF($B1608="","",IF(COUNTIF(Account_Map!$A$6:$A$31,$B1608)&gt;0,"Mapped","UNMAPPED"))</x:f>
      </x:c>
    </x:row>
    <x:row r="1609">
      <x:c r="A1609" s="290"/>
      <x:c r="F1609" s="400"/>
      <x:c r="I1609" s="392"/>
      <x:c r="J1609" t="str">
        <x:f>IF($B1609="","",IF(COUNTIF(Account_Map!$A$6:$A$31,$B1609)&gt;0,"Mapped","UNMAPPED"))</x:f>
      </x:c>
    </x:row>
    <x:row r="1610">
      <x:c r="A1610" s="290"/>
      <x:c r="F1610" s="400"/>
      <x:c r="I1610" s="392"/>
      <x:c r="J1610" t="str">
        <x:f>IF($B1610="","",IF(COUNTIF(Account_Map!$A$6:$A$31,$B1610)&gt;0,"Mapped","UNMAPPED"))</x:f>
      </x:c>
    </x:row>
    <x:row r="1611">
      <x:c r="A1611" s="290"/>
      <x:c r="F1611" s="400"/>
      <x:c r="I1611" s="392"/>
      <x:c r="J1611" t="str">
        <x:f>IF($B1611="","",IF(COUNTIF(Account_Map!$A$6:$A$31,$B1611)&gt;0,"Mapped","UNMAPPED"))</x:f>
      </x:c>
    </x:row>
    <x:row r="1612">
      <x:c r="A1612" s="290"/>
      <x:c r="F1612" s="400"/>
      <x:c r="I1612" s="392"/>
      <x:c r="J1612" t="str">
        <x:f>IF($B1612="","",IF(COUNTIF(Account_Map!$A$6:$A$31,$B1612)&gt;0,"Mapped","UNMAPPED"))</x:f>
      </x:c>
    </x:row>
    <x:row r="1613">
      <x:c r="A1613" s="290"/>
      <x:c r="F1613" s="400"/>
      <x:c r="I1613" s="392"/>
      <x:c r="J1613" t="str">
        <x:f>IF($B1613="","",IF(COUNTIF(Account_Map!$A$6:$A$31,$B1613)&gt;0,"Mapped","UNMAPPED"))</x:f>
      </x:c>
    </x:row>
    <x:row r="1614">
      <x:c r="A1614" s="290"/>
      <x:c r="F1614" s="400"/>
      <x:c r="I1614" s="392"/>
      <x:c r="J1614" t="str">
        <x:f>IF($B1614="","",IF(COUNTIF(Account_Map!$A$6:$A$31,$B1614)&gt;0,"Mapped","UNMAPPED"))</x:f>
      </x:c>
    </x:row>
    <x:row r="1615">
      <x:c r="A1615" s="290"/>
      <x:c r="F1615" s="400"/>
      <x:c r="I1615" s="392"/>
      <x:c r="J1615" t="str">
        <x:f>IF($B1615="","",IF(COUNTIF(Account_Map!$A$6:$A$31,$B1615)&gt;0,"Mapped","UNMAPPED"))</x:f>
      </x:c>
    </x:row>
    <x:row r="1616">
      <x:c r="A1616" s="290"/>
      <x:c r="F1616" s="400"/>
      <x:c r="I1616" s="392"/>
      <x:c r="J1616" t="str">
        <x:f>IF($B1616="","",IF(COUNTIF(Account_Map!$A$6:$A$31,$B1616)&gt;0,"Mapped","UNMAPPED"))</x:f>
      </x:c>
    </x:row>
    <x:row r="1617">
      <x:c r="A1617" s="290"/>
      <x:c r="F1617" s="400"/>
      <x:c r="I1617" s="392"/>
      <x:c r="J1617" t="str">
        <x:f>IF($B1617="","",IF(COUNTIF(Account_Map!$A$6:$A$31,$B1617)&gt;0,"Mapped","UNMAPPED"))</x:f>
      </x:c>
    </x:row>
    <x:row r="1618">
      <x:c r="A1618" s="290"/>
      <x:c r="F1618" s="400"/>
      <x:c r="I1618" s="392"/>
      <x:c r="J1618" t="str">
        <x:f>IF($B1618="","",IF(COUNTIF(Account_Map!$A$6:$A$31,$B1618)&gt;0,"Mapped","UNMAPPED"))</x:f>
      </x:c>
    </x:row>
    <x:row r="1619">
      <x:c r="A1619" s="290"/>
      <x:c r="F1619" s="400"/>
      <x:c r="I1619" s="392"/>
      <x:c r="J1619" t="str">
        <x:f>IF($B1619="","",IF(COUNTIF(Account_Map!$A$6:$A$31,$B1619)&gt;0,"Mapped","UNMAPPED"))</x:f>
      </x:c>
    </x:row>
    <x:row r="1620">
      <x:c r="A1620" s="290"/>
      <x:c r="F1620" s="400"/>
      <x:c r="I1620" s="392"/>
      <x:c r="J1620" t="str">
        <x:f>IF($B1620="","",IF(COUNTIF(Account_Map!$A$6:$A$31,$B1620)&gt;0,"Mapped","UNMAPPED"))</x:f>
      </x:c>
    </x:row>
    <x:row r="1621">
      <x:c r="A1621" s="290"/>
      <x:c r="F1621" s="400"/>
      <x:c r="I1621" s="392"/>
      <x:c r="J1621" t="str">
        <x:f>IF($B1621="","",IF(COUNTIF(Account_Map!$A$6:$A$31,$B1621)&gt;0,"Mapped","UNMAPPED"))</x:f>
      </x:c>
    </x:row>
    <x:row r="1622">
      <x:c r="A1622" s="290"/>
      <x:c r="F1622" s="400"/>
      <x:c r="I1622" s="392"/>
      <x:c r="J1622" t="str">
        <x:f>IF($B1622="","",IF(COUNTIF(Account_Map!$A$6:$A$31,$B1622)&gt;0,"Mapped","UNMAPPED"))</x:f>
      </x:c>
    </x:row>
    <x:row r="1623">
      <x:c r="A1623" s="290"/>
      <x:c r="F1623" s="400"/>
      <x:c r="I1623" s="392"/>
      <x:c r="J1623" t="str">
        <x:f>IF($B1623="","",IF(COUNTIF(Account_Map!$A$6:$A$31,$B1623)&gt;0,"Mapped","UNMAPPED"))</x:f>
      </x:c>
    </x:row>
    <x:row r="1624">
      <x:c r="A1624" s="290"/>
      <x:c r="F1624" s="400"/>
      <x:c r="I1624" s="392"/>
      <x:c r="J1624" t="str">
        <x:f>IF($B1624="","",IF(COUNTIF(Account_Map!$A$6:$A$31,$B1624)&gt;0,"Mapped","UNMAPPED"))</x:f>
      </x:c>
    </x:row>
    <x:row r="1625">
      <x:c r="A1625" s="290"/>
      <x:c r="F1625" s="400"/>
      <x:c r="I1625" s="392"/>
      <x:c r="J1625" t="str">
        <x:f>IF($B1625="","",IF(COUNTIF(Account_Map!$A$6:$A$31,$B1625)&gt;0,"Mapped","UNMAPPED"))</x:f>
      </x:c>
    </x:row>
    <x:row r="1626">
      <x:c r="A1626" s="290"/>
      <x:c r="F1626" s="400"/>
      <x:c r="I1626" s="392"/>
      <x:c r="J1626" t="str">
        <x:f>IF($B1626="","",IF(COUNTIF(Account_Map!$A$6:$A$31,$B1626)&gt;0,"Mapped","UNMAPPED"))</x:f>
      </x:c>
    </x:row>
    <x:row r="1627">
      <x:c r="A1627" s="290"/>
      <x:c r="F1627" s="400"/>
      <x:c r="I1627" s="392"/>
      <x:c r="J1627" t="str">
        <x:f>IF($B1627="","",IF(COUNTIF(Account_Map!$A$6:$A$31,$B1627)&gt;0,"Mapped","UNMAPPED"))</x:f>
      </x:c>
    </x:row>
    <x:row r="1628">
      <x:c r="A1628" s="290"/>
      <x:c r="F1628" s="400"/>
      <x:c r="I1628" s="392"/>
      <x:c r="J1628" t="str">
        <x:f>IF($B1628="","",IF(COUNTIF(Account_Map!$A$6:$A$31,$B1628)&gt;0,"Mapped","UNMAPPED"))</x:f>
      </x:c>
    </x:row>
    <x:row r="1629">
      <x:c r="A1629" s="290"/>
      <x:c r="F1629" s="400"/>
      <x:c r="I1629" s="392"/>
      <x:c r="J1629" t="str">
        <x:f>IF($B1629="","",IF(COUNTIF(Account_Map!$A$6:$A$31,$B1629)&gt;0,"Mapped","UNMAPPED"))</x:f>
      </x:c>
    </x:row>
    <x:row r="1630">
      <x:c r="A1630" s="290"/>
      <x:c r="F1630" s="400"/>
      <x:c r="I1630" s="392"/>
      <x:c r="J1630" t="str">
        <x:f>IF($B1630="","",IF(COUNTIF(Account_Map!$A$6:$A$31,$B1630)&gt;0,"Mapped","UNMAPPED"))</x:f>
      </x:c>
    </x:row>
    <x:row r="1631">
      <x:c r="A1631" s="290"/>
      <x:c r="F1631" s="400"/>
      <x:c r="I1631" s="392"/>
      <x:c r="J1631" t="str">
        <x:f>IF($B1631="","",IF(COUNTIF(Account_Map!$A$6:$A$31,$B1631)&gt;0,"Mapped","UNMAPPED"))</x:f>
      </x:c>
    </x:row>
    <x:row r="1632">
      <x:c r="A1632" s="290"/>
      <x:c r="F1632" s="400"/>
      <x:c r="I1632" s="392"/>
      <x:c r="J1632" t="str">
        <x:f>IF($B1632="","",IF(COUNTIF(Account_Map!$A$6:$A$31,$B1632)&gt;0,"Mapped","UNMAPPED"))</x:f>
      </x:c>
    </x:row>
    <x:row r="1633">
      <x:c r="A1633" s="290"/>
      <x:c r="F1633" s="400"/>
      <x:c r="I1633" s="392"/>
      <x:c r="J1633" t="str">
        <x:f>IF($B1633="","",IF(COUNTIF(Account_Map!$A$6:$A$31,$B1633)&gt;0,"Mapped","UNMAPPED"))</x:f>
      </x:c>
    </x:row>
    <x:row r="1634">
      <x:c r="A1634" s="290"/>
      <x:c r="F1634" s="400"/>
      <x:c r="I1634" s="392"/>
      <x:c r="J1634" t="str">
        <x:f>IF($B1634="","",IF(COUNTIF(Account_Map!$A$6:$A$31,$B1634)&gt;0,"Mapped","UNMAPPED"))</x:f>
      </x:c>
    </x:row>
    <x:row r="1635">
      <x:c r="A1635" s="290"/>
      <x:c r="F1635" s="400"/>
      <x:c r="I1635" s="392"/>
      <x:c r="J1635" t="str">
        <x:f>IF($B1635="","",IF(COUNTIF(Account_Map!$A$6:$A$31,$B1635)&gt;0,"Mapped","UNMAPPED"))</x:f>
      </x:c>
    </x:row>
    <x:row r="1636">
      <x:c r="A1636" s="290"/>
      <x:c r="F1636" s="400"/>
      <x:c r="I1636" s="392"/>
      <x:c r="J1636" t="str">
        <x:f>IF($B1636="","",IF(COUNTIF(Account_Map!$A$6:$A$31,$B1636)&gt;0,"Mapped","UNMAPPED"))</x:f>
      </x:c>
    </x:row>
    <x:row r="1637">
      <x:c r="A1637" s="290"/>
      <x:c r="F1637" s="400"/>
      <x:c r="I1637" s="392"/>
      <x:c r="J1637" t="str">
        <x:f>IF($B1637="","",IF(COUNTIF(Account_Map!$A$6:$A$31,$B1637)&gt;0,"Mapped","UNMAPPED"))</x:f>
      </x:c>
    </x:row>
    <x:row r="1638">
      <x:c r="A1638" s="290"/>
      <x:c r="F1638" s="400"/>
      <x:c r="I1638" s="392"/>
      <x:c r="J1638" t="str">
        <x:f>IF($B1638="","",IF(COUNTIF(Account_Map!$A$6:$A$31,$B1638)&gt;0,"Mapped","UNMAPPED"))</x:f>
      </x:c>
    </x:row>
    <x:row r="1639">
      <x:c r="A1639" s="290"/>
      <x:c r="F1639" s="400"/>
      <x:c r="I1639" s="392"/>
      <x:c r="J1639" t="str">
        <x:f>IF($B1639="","",IF(COUNTIF(Account_Map!$A$6:$A$31,$B1639)&gt;0,"Mapped","UNMAPPED"))</x:f>
      </x:c>
    </x:row>
    <x:row r="1640">
      <x:c r="A1640" s="290"/>
      <x:c r="F1640" s="400"/>
      <x:c r="I1640" s="392"/>
      <x:c r="J1640" t="str">
        <x:f>IF($B1640="","",IF(COUNTIF(Account_Map!$A$6:$A$31,$B1640)&gt;0,"Mapped","UNMAPPED"))</x:f>
      </x:c>
    </x:row>
    <x:row r="1641">
      <x:c r="A1641" s="290"/>
      <x:c r="F1641" s="400"/>
      <x:c r="I1641" s="392"/>
      <x:c r="J1641" t="str">
        <x:f>IF($B1641="","",IF(COUNTIF(Account_Map!$A$6:$A$31,$B1641)&gt;0,"Mapped","UNMAPPED"))</x:f>
      </x:c>
    </x:row>
    <x:row r="1642">
      <x:c r="A1642" s="290"/>
      <x:c r="F1642" s="400"/>
      <x:c r="I1642" s="392"/>
      <x:c r="J1642" t="str">
        <x:f>IF($B1642="","",IF(COUNTIF(Account_Map!$A$6:$A$31,$B1642)&gt;0,"Mapped","UNMAPPED"))</x:f>
      </x:c>
    </x:row>
    <x:row r="1643">
      <x:c r="A1643" s="290"/>
      <x:c r="F1643" s="400"/>
      <x:c r="I1643" s="392"/>
      <x:c r="J1643" t="str">
        <x:f>IF($B1643="","",IF(COUNTIF(Account_Map!$A$6:$A$31,$B1643)&gt;0,"Mapped","UNMAPPED"))</x:f>
      </x:c>
    </x:row>
    <x:row r="1644">
      <x:c r="A1644" s="290"/>
      <x:c r="F1644" s="400"/>
      <x:c r="I1644" s="392"/>
      <x:c r="J1644" t="str">
        <x:f>IF($B1644="","",IF(COUNTIF(Account_Map!$A$6:$A$31,$B1644)&gt;0,"Mapped","UNMAPPED"))</x:f>
      </x:c>
    </x:row>
    <x:row r="1645">
      <x:c r="A1645" s="290"/>
      <x:c r="F1645" s="400"/>
      <x:c r="I1645" s="392"/>
      <x:c r="J1645" t="str">
        <x:f>IF($B1645="","",IF(COUNTIF(Account_Map!$A$6:$A$31,$B1645)&gt;0,"Mapped","UNMAPPED"))</x:f>
      </x:c>
    </x:row>
    <x:row r="1646">
      <x:c r="A1646" s="290"/>
      <x:c r="F1646" s="400"/>
      <x:c r="I1646" s="392"/>
      <x:c r="J1646" t="str">
        <x:f>IF($B1646="","",IF(COUNTIF(Account_Map!$A$6:$A$31,$B1646)&gt;0,"Mapped","UNMAPPED"))</x:f>
      </x:c>
    </x:row>
    <x:row r="1647">
      <x:c r="A1647" s="290"/>
      <x:c r="F1647" s="400"/>
      <x:c r="I1647" s="392"/>
      <x:c r="J1647" t="str">
        <x:f>IF($B1647="","",IF(COUNTIF(Account_Map!$A$6:$A$31,$B1647)&gt;0,"Mapped","UNMAPPED"))</x:f>
      </x:c>
    </x:row>
    <x:row r="1648">
      <x:c r="A1648" s="290"/>
      <x:c r="F1648" s="400"/>
      <x:c r="I1648" s="392"/>
      <x:c r="J1648" t="str">
        <x:f>IF($B1648="","",IF(COUNTIF(Account_Map!$A$6:$A$31,$B1648)&gt;0,"Mapped","UNMAPPED"))</x:f>
      </x:c>
    </x:row>
    <x:row r="1649">
      <x:c r="A1649" s="290"/>
      <x:c r="F1649" s="400"/>
      <x:c r="I1649" s="392"/>
      <x:c r="J1649" t="str">
        <x:f>IF($B1649="","",IF(COUNTIF(Account_Map!$A$6:$A$31,$B1649)&gt;0,"Mapped","UNMAPPED"))</x:f>
      </x:c>
    </x:row>
    <x:row r="1650">
      <x:c r="A1650" s="290"/>
      <x:c r="F1650" s="400"/>
      <x:c r="I1650" s="392"/>
      <x:c r="J1650" t="str">
        <x:f>IF($B1650="","",IF(COUNTIF(Account_Map!$A$6:$A$31,$B1650)&gt;0,"Mapped","UNMAPPED"))</x:f>
      </x:c>
    </x:row>
    <x:row r="1651">
      <x:c r="A1651" s="290"/>
      <x:c r="F1651" s="400"/>
      <x:c r="I1651" s="392"/>
      <x:c r="J1651" t="str">
        <x:f>IF($B1651="","",IF(COUNTIF(Account_Map!$A$6:$A$31,$B1651)&gt;0,"Mapped","UNMAPPED"))</x:f>
      </x:c>
    </x:row>
    <x:row r="1652">
      <x:c r="A1652" s="290"/>
      <x:c r="F1652" s="400"/>
      <x:c r="I1652" s="392"/>
      <x:c r="J1652" t="str">
        <x:f>IF($B1652="","",IF(COUNTIF(Account_Map!$A$6:$A$31,$B1652)&gt;0,"Mapped","UNMAPPED"))</x:f>
      </x:c>
    </x:row>
    <x:row r="1653">
      <x:c r="A1653" s="290"/>
      <x:c r="F1653" s="400"/>
      <x:c r="I1653" s="392"/>
      <x:c r="J1653" t="str">
        <x:f>IF($B1653="","",IF(COUNTIF(Account_Map!$A$6:$A$31,$B1653)&gt;0,"Mapped","UNMAPPED"))</x:f>
      </x:c>
    </x:row>
    <x:row r="1654">
      <x:c r="A1654" s="290"/>
      <x:c r="F1654" s="400"/>
      <x:c r="I1654" s="392"/>
      <x:c r="J1654" t="str">
        <x:f>IF($B1654="","",IF(COUNTIF(Account_Map!$A$6:$A$31,$B1654)&gt;0,"Mapped","UNMAPPED"))</x:f>
      </x:c>
    </x:row>
    <x:row r="1655">
      <x:c r="A1655" s="290"/>
      <x:c r="F1655" s="400"/>
      <x:c r="I1655" s="392"/>
      <x:c r="J1655" t="str">
        <x:f>IF($B1655="","",IF(COUNTIF(Account_Map!$A$6:$A$31,$B1655)&gt;0,"Mapped","UNMAPPED"))</x:f>
      </x:c>
    </x:row>
    <x:row r="1656">
      <x:c r="A1656" s="290"/>
      <x:c r="F1656" s="400"/>
      <x:c r="I1656" s="392"/>
      <x:c r="J1656" t="str">
        <x:f>IF($B1656="","",IF(COUNTIF(Account_Map!$A$6:$A$31,$B1656)&gt;0,"Mapped","UNMAPPED"))</x:f>
      </x:c>
    </x:row>
    <x:row r="1657">
      <x:c r="A1657" s="290"/>
      <x:c r="F1657" s="400"/>
      <x:c r="I1657" s="392"/>
      <x:c r="J1657" t="str">
        <x:f>IF($B1657="","",IF(COUNTIF(Account_Map!$A$6:$A$31,$B1657)&gt;0,"Mapped","UNMAPPED"))</x:f>
      </x:c>
    </x:row>
    <x:row r="1658">
      <x:c r="A1658" s="290"/>
      <x:c r="F1658" s="400"/>
      <x:c r="I1658" s="392"/>
      <x:c r="J1658" t="str">
        <x:f>IF($B1658="","",IF(COUNTIF(Account_Map!$A$6:$A$31,$B1658)&gt;0,"Mapped","UNMAPPED"))</x:f>
      </x:c>
    </x:row>
    <x:row r="1659">
      <x:c r="A1659" s="290"/>
      <x:c r="F1659" s="400"/>
      <x:c r="I1659" s="392"/>
      <x:c r="J1659" t="str">
        <x:f>IF($B1659="","",IF(COUNTIF(Account_Map!$A$6:$A$31,$B1659)&gt;0,"Mapped","UNMAPPED"))</x:f>
      </x:c>
    </x:row>
    <x:row r="1660">
      <x:c r="A1660" s="290"/>
      <x:c r="F1660" s="400"/>
      <x:c r="I1660" s="392"/>
      <x:c r="J1660" t="str">
        <x:f>IF($B1660="","",IF(COUNTIF(Account_Map!$A$6:$A$31,$B1660)&gt;0,"Mapped","UNMAPPED"))</x:f>
      </x:c>
    </x:row>
    <x:row r="1661">
      <x:c r="A1661" s="290"/>
      <x:c r="F1661" s="400"/>
      <x:c r="I1661" s="392"/>
      <x:c r="J1661" t="str">
        <x:f>IF($B1661="","",IF(COUNTIF(Account_Map!$A$6:$A$31,$B1661)&gt;0,"Mapped","UNMAPPED"))</x:f>
      </x:c>
    </x:row>
    <x:row r="1662">
      <x:c r="A1662" s="290"/>
      <x:c r="F1662" s="400"/>
      <x:c r="I1662" s="392"/>
      <x:c r="J1662" t="str">
        <x:f>IF($B1662="","",IF(COUNTIF(Account_Map!$A$6:$A$31,$B1662)&gt;0,"Mapped","UNMAPPED"))</x:f>
      </x:c>
    </x:row>
    <x:row r="1663">
      <x:c r="A1663" s="290"/>
      <x:c r="F1663" s="400"/>
      <x:c r="I1663" s="392"/>
      <x:c r="J1663" t="str">
        <x:f>IF($B1663="","",IF(COUNTIF(Account_Map!$A$6:$A$31,$B1663)&gt;0,"Mapped","UNMAPPED"))</x:f>
      </x:c>
    </x:row>
    <x:row r="1664">
      <x:c r="A1664" s="290"/>
      <x:c r="F1664" s="400"/>
      <x:c r="I1664" s="392"/>
      <x:c r="J1664" t="str">
        <x:f>IF($B1664="","",IF(COUNTIF(Account_Map!$A$6:$A$31,$B1664)&gt;0,"Mapped","UNMAPPED"))</x:f>
      </x:c>
    </x:row>
    <x:row r="1665">
      <x:c r="A1665" s="290"/>
      <x:c r="F1665" s="400"/>
      <x:c r="I1665" s="392"/>
      <x:c r="J1665" t="str">
        <x:f>IF($B1665="","",IF(COUNTIF(Account_Map!$A$6:$A$31,$B1665)&gt;0,"Mapped","UNMAPPED"))</x:f>
      </x:c>
    </x:row>
    <x:row r="1666">
      <x:c r="A1666" s="290"/>
      <x:c r="F1666" s="400"/>
      <x:c r="I1666" s="392"/>
      <x:c r="J1666" t="str">
        <x:f>IF($B1666="","",IF(COUNTIF(Account_Map!$A$6:$A$31,$B1666)&gt;0,"Mapped","UNMAPPED"))</x:f>
      </x:c>
    </x:row>
    <x:row r="1667">
      <x:c r="A1667" s="290"/>
      <x:c r="F1667" s="400"/>
      <x:c r="I1667" s="392"/>
      <x:c r="J1667" t="str">
        <x:f>IF($B1667="","",IF(COUNTIF(Account_Map!$A$6:$A$31,$B1667)&gt;0,"Mapped","UNMAPPED"))</x:f>
      </x:c>
    </x:row>
    <x:row r="1668">
      <x:c r="A1668" s="290"/>
      <x:c r="F1668" s="400"/>
      <x:c r="I1668" s="392"/>
      <x:c r="J1668" t="str">
        <x:f>IF($B1668="","",IF(COUNTIF(Account_Map!$A$6:$A$31,$B1668)&gt;0,"Mapped","UNMAPPED"))</x:f>
      </x:c>
    </x:row>
    <x:row r="1669">
      <x:c r="A1669" s="290"/>
      <x:c r="F1669" s="400"/>
      <x:c r="I1669" s="392"/>
      <x:c r="J1669" t="str">
        <x:f>IF($B1669="","",IF(COUNTIF(Account_Map!$A$6:$A$31,$B1669)&gt;0,"Mapped","UNMAPPED"))</x:f>
      </x:c>
    </x:row>
    <x:row r="1670">
      <x:c r="A1670" s="290"/>
      <x:c r="F1670" s="400"/>
      <x:c r="I1670" s="392"/>
      <x:c r="J1670" t="str">
        <x:f>IF($B1670="","",IF(COUNTIF(Account_Map!$A$6:$A$31,$B1670)&gt;0,"Mapped","UNMAPPED"))</x:f>
      </x:c>
    </x:row>
    <x:row r="1671">
      <x:c r="A1671" s="290"/>
      <x:c r="F1671" s="400"/>
      <x:c r="I1671" s="392"/>
      <x:c r="J1671" t="str">
        <x:f>IF($B1671="","",IF(COUNTIF(Account_Map!$A$6:$A$31,$B1671)&gt;0,"Mapped","UNMAPPED"))</x:f>
      </x:c>
    </x:row>
    <x:row r="1672">
      <x:c r="A1672" s="290"/>
      <x:c r="F1672" s="400"/>
      <x:c r="I1672" s="392"/>
      <x:c r="J1672" t="str">
        <x:f>IF($B1672="","",IF(COUNTIF(Account_Map!$A$6:$A$31,$B1672)&gt;0,"Mapped","UNMAPPED"))</x:f>
      </x:c>
    </x:row>
    <x:row r="1673">
      <x:c r="A1673" s="290"/>
      <x:c r="F1673" s="400"/>
      <x:c r="I1673" s="392"/>
      <x:c r="J1673" t="str">
        <x:f>IF($B1673="","",IF(COUNTIF(Account_Map!$A$6:$A$31,$B1673)&gt;0,"Mapped","UNMAPPED"))</x:f>
      </x:c>
    </x:row>
    <x:row r="1674">
      <x:c r="A1674" s="290"/>
      <x:c r="F1674" s="400"/>
      <x:c r="I1674" s="392"/>
      <x:c r="J1674" t="str">
        <x:f>IF($B1674="","",IF(COUNTIF(Account_Map!$A$6:$A$31,$B1674)&gt;0,"Mapped","UNMAPPED"))</x:f>
      </x:c>
    </x:row>
    <x:row r="1675">
      <x:c r="A1675" s="290"/>
      <x:c r="F1675" s="400"/>
      <x:c r="I1675" s="392"/>
      <x:c r="J1675" t="str">
        <x:f>IF($B1675="","",IF(COUNTIF(Account_Map!$A$6:$A$31,$B1675)&gt;0,"Mapped","UNMAPPED"))</x:f>
      </x:c>
    </x:row>
    <x:row r="1676">
      <x:c r="A1676" s="290"/>
      <x:c r="F1676" s="400"/>
      <x:c r="I1676" s="392"/>
      <x:c r="J1676" t="str">
        <x:f>IF($B1676="","",IF(COUNTIF(Account_Map!$A$6:$A$31,$B1676)&gt;0,"Mapped","UNMAPPED"))</x:f>
      </x:c>
    </x:row>
    <x:row r="1677">
      <x:c r="A1677" s="290"/>
      <x:c r="F1677" s="400"/>
      <x:c r="I1677" s="392"/>
      <x:c r="J1677" t="str">
        <x:f>IF($B1677="","",IF(COUNTIF(Account_Map!$A$6:$A$31,$B1677)&gt;0,"Mapped","UNMAPPED"))</x:f>
      </x:c>
    </x:row>
    <x:row r="1678">
      <x:c r="A1678" s="290"/>
      <x:c r="F1678" s="400"/>
      <x:c r="I1678" s="392"/>
      <x:c r="J1678" t="str">
        <x:f>IF($B1678="","",IF(COUNTIF(Account_Map!$A$6:$A$31,$B1678)&gt;0,"Mapped","UNMAPPED"))</x:f>
      </x:c>
    </x:row>
    <x:row r="1679">
      <x:c r="A1679" s="290"/>
      <x:c r="F1679" s="400"/>
      <x:c r="I1679" s="392"/>
      <x:c r="J1679" t="str">
        <x:f>IF($B1679="","",IF(COUNTIF(Account_Map!$A$6:$A$31,$B1679)&gt;0,"Mapped","UNMAPPED"))</x:f>
      </x:c>
    </x:row>
    <x:row r="1680">
      <x:c r="A1680" s="290"/>
      <x:c r="F1680" s="400"/>
      <x:c r="I1680" s="392"/>
      <x:c r="J1680" t="str">
        <x:f>IF($B1680="","",IF(COUNTIF(Account_Map!$A$6:$A$31,$B1680)&gt;0,"Mapped","UNMAPPED"))</x:f>
      </x:c>
    </x:row>
    <x:row r="1681">
      <x:c r="A1681" s="290"/>
      <x:c r="F1681" s="400"/>
      <x:c r="I1681" s="392"/>
      <x:c r="J1681" t="str">
        <x:f>IF($B1681="","",IF(COUNTIF(Account_Map!$A$6:$A$31,$B1681)&gt;0,"Mapped","UNMAPPED"))</x:f>
      </x:c>
    </x:row>
    <x:row r="1682">
      <x:c r="A1682" s="290"/>
      <x:c r="F1682" s="400"/>
      <x:c r="I1682" s="392"/>
      <x:c r="J1682" t="str">
        <x:f>IF($B1682="","",IF(COUNTIF(Account_Map!$A$6:$A$31,$B1682)&gt;0,"Mapped","UNMAPPED"))</x:f>
      </x:c>
    </x:row>
    <x:row r="1683">
      <x:c r="A1683" s="290"/>
      <x:c r="F1683" s="400"/>
      <x:c r="I1683" s="392"/>
      <x:c r="J1683" t="str">
        <x:f>IF($B1683="","",IF(COUNTIF(Account_Map!$A$6:$A$31,$B1683)&gt;0,"Mapped","UNMAPPED"))</x:f>
      </x:c>
    </x:row>
    <x:row r="1684">
      <x:c r="A1684" s="290"/>
      <x:c r="F1684" s="400"/>
      <x:c r="I1684" s="392"/>
      <x:c r="J1684" t="str">
        <x:f>IF($B1684="","",IF(COUNTIF(Account_Map!$A$6:$A$31,$B1684)&gt;0,"Mapped","UNMAPPED"))</x:f>
      </x:c>
    </x:row>
    <x:row r="1685">
      <x:c r="A1685" s="290"/>
      <x:c r="F1685" s="400"/>
      <x:c r="I1685" s="392"/>
      <x:c r="J1685" t="str">
        <x:f>IF($B1685="","",IF(COUNTIF(Account_Map!$A$6:$A$31,$B1685)&gt;0,"Mapped","UNMAPPED"))</x:f>
      </x:c>
    </x:row>
    <x:row r="1686">
      <x:c r="A1686" s="290"/>
      <x:c r="F1686" s="400"/>
      <x:c r="I1686" s="392"/>
      <x:c r="J1686" t="str">
        <x:f>IF($B1686="","",IF(COUNTIF(Account_Map!$A$6:$A$31,$B1686)&gt;0,"Mapped","UNMAPPED"))</x:f>
      </x:c>
    </x:row>
    <x:row r="1687">
      <x:c r="A1687" s="290"/>
      <x:c r="F1687" s="400"/>
      <x:c r="I1687" s="392"/>
      <x:c r="J1687" t="str">
        <x:f>IF($B1687="","",IF(COUNTIF(Account_Map!$A$6:$A$31,$B1687)&gt;0,"Mapped","UNMAPPED"))</x:f>
      </x:c>
    </x:row>
    <x:row r="1688">
      <x:c r="A1688" s="290"/>
      <x:c r="F1688" s="400"/>
      <x:c r="I1688" s="392"/>
      <x:c r="J1688" t="str">
        <x:f>IF($B1688="","",IF(COUNTIF(Account_Map!$A$6:$A$31,$B1688)&gt;0,"Mapped","UNMAPPED"))</x:f>
      </x:c>
    </x:row>
    <x:row r="1689">
      <x:c r="A1689" s="290"/>
      <x:c r="F1689" s="400"/>
      <x:c r="I1689" s="392"/>
      <x:c r="J1689" t="str">
        <x:f>IF($B1689="","",IF(COUNTIF(Account_Map!$A$6:$A$31,$B1689)&gt;0,"Mapped","UNMAPPED"))</x:f>
      </x:c>
    </x:row>
    <x:row r="1690">
      <x:c r="A1690" s="290"/>
      <x:c r="F1690" s="400"/>
      <x:c r="I1690" s="392"/>
      <x:c r="J1690" t="str">
        <x:f>IF($B1690="","",IF(COUNTIF(Account_Map!$A$6:$A$31,$B1690)&gt;0,"Mapped","UNMAPPED"))</x:f>
      </x:c>
    </x:row>
    <x:row r="1691">
      <x:c r="A1691" s="290"/>
      <x:c r="F1691" s="400"/>
      <x:c r="I1691" s="392"/>
      <x:c r="J1691" t="str">
        <x:f>IF($B1691="","",IF(COUNTIF(Account_Map!$A$6:$A$31,$B1691)&gt;0,"Mapped","UNMAPPED"))</x:f>
      </x:c>
    </x:row>
    <x:row r="1692">
      <x:c r="A1692" s="290"/>
      <x:c r="F1692" s="400"/>
      <x:c r="I1692" s="392"/>
      <x:c r="J1692" t="str">
        <x:f>IF($B1692="","",IF(COUNTIF(Account_Map!$A$6:$A$31,$B1692)&gt;0,"Mapped","UNMAPPED"))</x:f>
      </x:c>
    </x:row>
    <x:row r="1693">
      <x:c r="A1693" s="290"/>
      <x:c r="F1693" s="400"/>
      <x:c r="I1693" s="392"/>
      <x:c r="J1693" t="str">
        <x:f>IF($B1693="","",IF(COUNTIF(Account_Map!$A$6:$A$31,$B1693)&gt;0,"Mapped","UNMAPPED"))</x:f>
      </x:c>
    </x:row>
    <x:row r="1694">
      <x:c r="A1694" s="290"/>
      <x:c r="F1694" s="400"/>
      <x:c r="I1694" s="392"/>
      <x:c r="J1694" t="str">
        <x:f>IF($B1694="","",IF(COUNTIF(Account_Map!$A$6:$A$31,$B1694)&gt;0,"Mapped","UNMAPPED"))</x:f>
      </x:c>
    </x:row>
    <x:row r="1695">
      <x:c r="A1695" s="290"/>
      <x:c r="F1695" s="400"/>
      <x:c r="I1695" s="392"/>
      <x:c r="J1695" t="str">
        <x:f>IF($B1695="","",IF(COUNTIF(Account_Map!$A$6:$A$31,$B1695)&gt;0,"Mapped","UNMAPPED"))</x:f>
      </x:c>
    </x:row>
    <x:row r="1696">
      <x:c r="A1696" s="290"/>
      <x:c r="F1696" s="400"/>
      <x:c r="I1696" s="392"/>
      <x:c r="J1696" t="str">
        <x:f>IF($B1696="","",IF(COUNTIF(Account_Map!$A$6:$A$31,$B1696)&gt;0,"Mapped","UNMAPPED"))</x:f>
      </x:c>
    </x:row>
    <x:row r="1697">
      <x:c r="A1697" s="290"/>
      <x:c r="F1697" s="400"/>
      <x:c r="I1697" s="392"/>
      <x:c r="J1697" t="str">
        <x:f>IF($B1697="","",IF(COUNTIF(Account_Map!$A$6:$A$31,$B1697)&gt;0,"Mapped","UNMAPPED"))</x:f>
      </x:c>
    </x:row>
    <x:row r="1698">
      <x:c r="A1698" s="290"/>
      <x:c r="F1698" s="400"/>
      <x:c r="I1698" s="392"/>
      <x:c r="J1698" t="str">
        <x:f>IF($B1698="","",IF(COUNTIF(Account_Map!$A$6:$A$31,$B1698)&gt;0,"Mapped","UNMAPPED"))</x:f>
      </x:c>
    </x:row>
    <x:row r="1699">
      <x:c r="A1699" s="290"/>
      <x:c r="F1699" s="400"/>
      <x:c r="I1699" s="392"/>
      <x:c r="J1699" t="str">
        <x:f>IF($B1699="","",IF(COUNTIF(Account_Map!$A$6:$A$31,$B1699)&gt;0,"Mapped","UNMAPPED"))</x:f>
      </x:c>
    </x:row>
    <x:row r="1700">
      <x:c r="A1700" s="290"/>
      <x:c r="F1700" s="400"/>
      <x:c r="I1700" s="392"/>
      <x:c r="J1700" t="str">
        <x:f>IF($B1700="","",IF(COUNTIF(Account_Map!$A$6:$A$31,$B1700)&gt;0,"Mapped","UNMAPPED"))</x:f>
      </x:c>
    </x:row>
    <x:row r="1701">
      <x:c r="A1701" s="290"/>
      <x:c r="F1701" s="400"/>
      <x:c r="I1701" s="392"/>
      <x:c r="J1701" t="str">
        <x:f>IF($B1701="","",IF(COUNTIF(Account_Map!$A$6:$A$31,$B1701)&gt;0,"Mapped","UNMAPPED"))</x:f>
      </x:c>
    </x:row>
    <x:row r="1702">
      <x:c r="A1702" s="290"/>
      <x:c r="F1702" s="400"/>
      <x:c r="I1702" s="392"/>
      <x:c r="J1702" t="str">
        <x:f>IF($B1702="","",IF(COUNTIF(Account_Map!$A$6:$A$31,$B1702)&gt;0,"Mapped","UNMAPPED"))</x:f>
      </x:c>
    </x:row>
    <x:row r="1703">
      <x:c r="A1703" s="290"/>
      <x:c r="F1703" s="400"/>
      <x:c r="I1703" s="392"/>
      <x:c r="J1703" t="str">
        <x:f>IF($B1703="","",IF(COUNTIF(Account_Map!$A$6:$A$31,$B1703)&gt;0,"Mapped","UNMAPPED"))</x:f>
      </x:c>
    </x:row>
    <x:row r="1704">
      <x:c r="A1704" s="290"/>
      <x:c r="F1704" s="400"/>
      <x:c r="I1704" s="392"/>
      <x:c r="J1704" t="str">
        <x:f>IF($B1704="","",IF(COUNTIF(Account_Map!$A$6:$A$31,$B1704)&gt;0,"Mapped","UNMAPPED"))</x:f>
      </x:c>
    </x:row>
    <x:row r="1705">
      <x:c r="A1705" s="290"/>
      <x:c r="F1705" s="400"/>
      <x:c r="I1705" s="392"/>
      <x:c r="J1705" t="str">
        <x:f>IF($B1705="","",IF(COUNTIF(Account_Map!$A$6:$A$31,$B1705)&gt;0,"Mapped","UNMAPPED"))</x:f>
      </x:c>
    </x:row>
    <x:row r="1706">
      <x:c r="A1706" s="290"/>
      <x:c r="F1706" s="400"/>
      <x:c r="I1706" s="392"/>
      <x:c r="J1706" t="str">
        <x:f>IF($B1706="","",IF(COUNTIF(Account_Map!$A$6:$A$31,$B1706)&gt;0,"Mapped","UNMAPPED"))</x:f>
      </x:c>
    </x:row>
    <x:row r="1707">
      <x:c r="A1707" s="290"/>
      <x:c r="F1707" s="400"/>
      <x:c r="I1707" s="392"/>
      <x:c r="J1707" t="str">
        <x:f>IF($B1707="","",IF(COUNTIF(Account_Map!$A$6:$A$31,$B1707)&gt;0,"Mapped","UNMAPPED"))</x:f>
      </x:c>
    </x:row>
    <x:row r="1708">
      <x:c r="A1708" s="290"/>
      <x:c r="F1708" s="400"/>
      <x:c r="I1708" s="392"/>
      <x:c r="J1708" t="str">
        <x:f>IF($B1708="","",IF(COUNTIF(Account_Map!$A$6:$A$31,$B1708)&gt;0,"Mapped","UNMAPPED"))</x:f>
      </x:c>
    </x:row>
    <x:row r="1709">
      <x:c r="A1709" s="290"/>
      <x:c r="F1709" s="400"/>
      <x:c r="I1709" s="392"/>
      <x:c r="J1709" t="str">
        <x:f>IF($B1709="","",IF(COUNTIF(Account_Map!$A$6:$A$31,$B1709)&gt;0,"Mapped","UNMAPPED"))</x:f>
      </x:c>
    </x:row>
    <x:row r="1710">
      <x:c r="A1710" s="290"/>
      <x:c r="F1710" s="400"/>
      <x:c r="I1710" s="392"/>
      <x:c r="J1710" t="str">
        <x:f>IF($B1710="","",IF(COUNTIF(Account_Map!$A$6:$A$31,$B1710)&gt;0,"Mapped","UNMAPPED"))</x:f>
      </x:c>
    </x:row>
    <x:row r="1711">
      <x:c r="A1711" s="290"/>
      <x:c r="F1711" s="400"/>
      <x:c r="I1711" s="392"/>
      <x:c r="J1711" t="str">
        <x:f>IF($B1711="","",IF(COUNTIF(Account_Map!$A$6:$A$31,$B1711)&gt;0,"Mapped","UNMAPPED"))</x:f>
      </x:c>
    </x:row>
    <x:row r="1712">
      <x:c r="A1712" s="290"/>
      <x:c r="F1712" s="400"/>
      <x:c r="I1712" s="392"/>
      <x:c r="J1712" t="str">
        <x:f>IF($B1712="","",IF(COUNTIF(Account_Map!$A$6:$A$31,$B1712)&gt;0,"Mapped","UNMAPPED"))</x:f>
      </x:c>
    </x:row>
    <x:row r="1713">
      <x:c r="A1713" s="290"/>
      <x:c r="F1713" s="400"/>
      <x:c r="I1713" s="392"/>
      <x:c r="J1713" t="str">
        <x:f>IF($B1713="","",IF(COUNTIF(Account_Map!$A$6:$A$31,$B1713)&gt;0,"Mapped","UNMAPPED"))</x:f>
      </x:c>
    </x:row>
    <x:row r="1714">
      <x:c r="A1714" s="290"/>
      <x:c r="F1714" s="400"/>
      <x:c r="I1714" s="392"/>
      <x:c r="J1714" t="str">
        <x:f>IF($B1714="","",IF(COUNTIF(Account_Map!$A$6:$A$31,$B1714)&gt;0,"Mapped","UNMAPPED"))</x:f>
      </x:c>
    </x:row>
    <x:row r="1715">
      <x:c r="A1715" s="290"/>
      <x:c r="F1715" s="400"/>
      <x:c r="I1715" s="392"/>
      <x:c r="J1715" t="str">
        <x:f>IF($B1715="","",IF(COUNTIF(Account_Map!$A$6:$A$31,$B1715)&gt;0,"Mapped","UNMAPPED"))</x:f>
      </x:c>
    </x:row>
    <x:row r="1716">
      <x:c r="A1716" s="290"/>
      <x:c r="F1716" s="400"/>
      <x:c r="I1716" s="392"/>
      <x:c r="J1716" t="str">
        <x:f>IF($B1716="","",IF(COUNTIF(Account_Map!$A$6:$A$31,$B1716)&gt;0,"Mapped","UNMAPPED"))</x:f>
      </x:c>
    </x:row>
    <x:row r="1717">
      <x:c r="A1717" s="290"/>
      <x:c r="F1717" s="400"/>
      <x:c r="I1717" s="392"/>
      <x:c r="J1717" t="str">
        <x:f>IF($B1717="","",IF(COUNTIF(Account_Map!$A$6:$A$31,$B1717)&gt;0,"Mapped","UNMAPPED"))</x:f>
      </x:c>
    </x:row>
    <x:row r="1718">
      <x:c r="A1718" s="290"/>
      <x:c r="F1718" s="400"/>
      <x:c r="I1718" s="392"/>
      <x:c r="J1718" t="str">
        <x:f>IF($B1718="","",IF(COUNTIF(Account_Map!$A$6:$A$31,$B1718)&gt;0,"Mapped","UNMAPPED"))</x:f>
      </x:c>
    </x:row>
    <x:row r="1719">
      <x:c r="A1719" s="290"/>
      <x:c r="F1719" s="400"/>
      <x:c r="I1719" s="392"/>
      <x:c r="J1719" t="str">
        <x:f>IF($B1719="","",IF(COUNTIF(Account_Map!$A$6:$A$31,$B1719)&gt;0,"Mapped","UNMAPPED"))</x:f>
      </x:c>
    </x:row>
    <x:row r="1720">
      <x:c r="A1720" s="290"/>
      <x:c r="F1720" s="400"/>
      <x:c r="I1720" s="392"/>
      <x:c r="J1720" t="str">
        <x:f>IF($B1720="","",IF(COUNTIF(Account_Map!$A$6:$A$31,$B1720)&gt;0,"Mapped","UNMAPPED"))</x:f>
      </x:c>
    </x:row>
    <x:row r="1721">
      <x:c r="A1721" s="290"/>
      <x:c r="F1721" s="400"/>
      <x:c r="I1721" s="392"/>
      <x:c r="J1721" t="str">
        <x:f>IF($B1721="","",IF(COUNTIF(Account_Map!$A$6:$A$31,$B1721)&gt;0,"Mapped","UNMAPPED"))</x:f>
      </x:c>
    </x:row>
    <x:row r="1722">
      <x:c r="A1722" s="290"/>
      <x:c r="F1722" s="400"/>
      <x:c r="I1722" s="392"/>
      <x:c r="J1722" t="str">
        <x:f>IF($B1722="","",IF(COUNTIF(Account_Map!$A$6:$A$31,$B1722)&gt;0,"Mapped","UNMAPPED"))</x:f>
      </x:c>
    </x:row>
    <x:row r="1723">
      <x:c r="A1723" s="290"/>
      <x:c r="F1723" s="400"/>
      <x:c r="I1723" s="392"/>
      <x:c r="J1723" t="str">
        <x:f>IF($B1723="","",IF(COUNTIF(Account_Map!$A$6:$A$31,$B1723)&gt;0,"Mapped","UNMAPPED"))</x:f>
      </x:c>
    </x:row>
    <x:row r="1724">
      <x:c r="A1724" s="290"/>
      <x:c r="F1724" s="400"/>
      <x:c r="I1724" s="392"/>
      <x:c r="J1724" t="str">
        <x:f>IF($B1724="","",IF(COUNTIF(Account_Map!$A$6:$A$31,$B1724)&gt;0,"Mapped","UNMAPPED"))</x:f>
      </x:c>
    </x:row>
    <x:row r="1725">
      <x:c r="A1725" s="290"/>
      <x:c r="F1725" s="400"/>
      <x:c r="I1725" s="392"/>
      <x:c r="J1725" t="str">
        <x:f>IF($B1725="","",IF(COUNTIF(Account_Map!$A$6:$A$31,$B1725)&gt;0,"Mapped","UNMAPPED"))</x:f>
      </x:c>
    </x:row>
    <x:row r="1726">
      <x:c r="A1726" s="290"/>
      <x:c r="F1726" s="400"/>
      <x:c r="I1726" s="392"/>
      <x:c r="J1726" t="str">
        <x:f>IF($B1726="","",IF(COUNTIF(Account_Map!$A$6:$A$31,$B1726)&gt;0,"Mapped","UNMAPPED"))</x:f>
      </x:c>
    </x:row>
    <x:row r="1727">
      <x:c r="A1727" s="290"/>
      <x:c r="F1727" s="400"/>
      <x:c r="I1727" s="392"/>
      <x:c r="J1727" t="str">
        <x:f>IF($B1727="","",IF(COUNTIF(Account_Map!$A$6:$A$31,$B1727)&gt;0,"Mapped","UNMAPPED"))</x:f>
      </x:c>
    </x:row>
    <x:row r="1728">
      <x:c r="A1728" s="290"/>
      <x:c r="F1728" s="400"/>
      <x:c r="I1728" s="392"/>
      <x:c r="J1728" t="str">
        <x:f>IF($B1728="","",IF(COUNTIF(Account_Map!$A$6:$A$31,$B1728)&gt;0,"Mapped","UNMAPPED"))</x:f>
      </x:c>
    </x:row>
    <x:row r="1729">
      <x:c r="A1729" s="290"/>
      <x:c r="F1729" s="400"/>
      <x:c r="I1729" s="392"/>
      <x:c r="J1729" t="str">
        <x:f>IF($B1729="","",IF(COUNTIF(Account_Map!$A$6:$A$31,$B1729)&gt;0,"Mapped","UNMAPPED"))</x:f>
      </x:c>
    </x:row>
    <x:row r="1730">
      <x:c r="A1730" s="290"/>
      <x:c r="F1730" s="400"/>
      <x:c r="I1730" s="392"/>
      <x:c r="J1730" t="str">
        <x:f>IF($B1730="","",IF(COUNTIF(Account_Map!$A$6:$A$31,$B1730)&gt;0,"Mapped","UNMAPPED"))</x:f>
      </x:c>
    </x:row>
    <x:row r="1731">
      <x:c r="A1731" s="290"/>
      <x:c r="F1731" s="400"/>
      <x:c r="I1731" s="392"/>
      <x:c r="J1731" t="str">
        <x:f>IF($B1731="","",IF(COUNTIF(Account_Map!$A$6:$A$31,$B1731)&gt;0,"Mapped","UNMAPPED"))</x:f>
      </x:c>
    </x:row>
    <x:row r="1732">
      <x:c r="A1732" s="290"/>
      <x:c r="F1732" s="400"/>
      <x:c r="I1732" s="392"/>
      <x:c r="J1732" t="str">
        <x:f>IF($B1732="","",IF(COUNTIF(Account_Map!$A$6:$A$31,$B1732)&gt;0,"Mapped","UNMAPPED"))</x:f>
      </x:c>
    </x:row>
    <x:row r="1733">
      <x:c r="A1733" s="290"/>
      <x:c r="F1733" s="400"/>
      <x:c r="I1733" s="392"/>
      <x:c r="J1733" t="str">
        <x:f>IF($B1733="","",IF(COUNTIF(Account_Map!$A$6:$A$31,$B1733)&gt;0,"Mapped","UNMAPPED"))</x:f>
      </x:c>
    </x:row>
    <x:row r="1734">
      <x:c r="A1734" s="290"/>
      <x:c r="F1734" s="400"/>
      <x:c r="I1734" s="392"/>
      <x:c r="J1734" t="str">
        <x:f>IF($B1734="","",IF(COUNTIF(Account_Map!$A$6:$A$31,$B1734)&gt;0,"Mapped","UNMAPPED"))</x:f>
      </x:c>
    </x:row>
    <x:row r="1735">
      <x:c r="A1735" s="290"/>
      <x:c r="F1735" s="400"/>
      <x:c r="I1735" s="392"/>
      <x:c r="J1735" t="str">
        <x:f>IF($B1735="","",IF(COUNTIF(Account_Map!$A$6:$A$31,$B1735)&gt;0,"Mapped","UNMAPPED"))</x:f>
      </x:c>
    </x:row>
    <x:row r="1736">
      <x:c r="A1736" s="290"/>
      <x:c r="F1736" s="400"/>
      <x:c r="I1736" s="392"/>
      <x:c r="J1736" t="str">
        <x:f>IF($B1736="","",IF(COUNTIF(Account_Map!$A$6:$A$31,$B1736)&gt;0,"Mapped","UNMAPPED"))</x:f>
      </x:c>
    </x:row>
    <x:row r="1737">
      <x:c r="A1737" s="290"/>
      <x:c r="F1737" s="400"/>
      <x:c r="I1737" s="392"/>
      <x:c r="J1737" t="str">
        <x:f>IF($B1737="","",IF(COUNTIF(Account_Map!$A$6:$A$31,$B1737)&gt;0,"Mapped","UNMAPPED"))</x:f>
      </x:c>
    </x:row>
    <x:row r="1738">
      <x:c r="A1738" s="290"/>
      <x:c r="F1738" s="400"/>
      <x:c r="I1738" s="392"/>
      <x:c r="J1738" t="str">
        <x:f>IF($B1738="","",IF(COUNTIF(Account_Map!$A$6:$A$31,$B1738)&gt;0,"Mapped","UNMAPPED"))</x:f>
      </x:c>
    </x:row>
    <x:row r="1739">
      <x:c r="A1739" s="290"/>
      <x:c r="F1739" s="400"/>
      <x:c r="I1739" s="392"/>
      <x:c r="J1739" t="str">
        <x:f>IF($B1739="","",IF(COUNTIF(Account_Map!$A$6:$A$31,$B1739)&gt;0,"Mapped","UNMAPPED"))</x:f>
      </x:c>
    </x:row>
    <x:row r="1740">
      <x:c r="A1740" s="290"/>
      <x:c r="F1740" s="400"/>
      <x:c r="I1740" s="392"/>
      <x:c r="J1740" t="str">
        <x:f>IF($B1740="","",IF(COUNTIF(Account_Map!$A$6:$A$31,$B1740)&gt;0,"Mapped","UNMAPPED"))</x:f>
      </x:c>
    </x:row>
    <x:row r="1741">
      <x:c r="A1741" s="290"/>
      <x:c r="F1741" s="400"/>
      <x:c r="I1741" s="392"/>
      <x:c r="J1741" t="str">
        <x:f>IF($B1741="","",IF(COUNTIF(Account_Map!$A$6:$A$31,$B1741)&gt;0,"Mapped","UNMAPPED"))</x:f>
      </x:c>
    </x:row>
    <x:row r="1742">
      <x:c r="A1742" s="290"/>
      <x:c r="F1742" s="400"/>
      <x:c r="I1742" s="392"/>
      <x:c r="J1742" t="str">
        <x:f>IF($B1742="","",IF(COUNTIF(Account_Map!$A$6:$A$31,$B1742)&gt;0,"Mapped","UNMAPPED"))</x:f>
      </x:c>
    </x:row>
    <x:row r="1743">
      <x:c r="A1743" s="290"/>
      <x:c r="F1743" s="400"/>
      <x:c r="I1743" s="392"/>
      <x:c r="J1743" t="str">
        <x:f>IF($B1743="","",IF(COUNTIF(Account_Map!$A$6:$A$31,$B1743)&gt;0,"Mapped","UNMAPPED"))</x:f>
      </x:c>
    </x:row>
    <x:row r="1744">
      <x:c r="A1744" s="290"/>
      <x:c r="F1744" s="400"/>
      <x:c r="I1744" s="392"/>
      <x:c r="J1744" t="str">
        <x:f>IF($B1744="","",IF(COUNTIF(Account_Map!$A$6:$A$31,$B1744)&gt;0,"Mapped","UNMAPPED"))</x:f>
      </x:c>
    </x:row>
    <x:row r="1745">
      <x:c r="A1745" s="290"/>
      <x:c r="F1745" s="400"/>
      <x:c r="I1745" s="392"/>
      <x:c r="J1745" t="str">
        <x:f>IF($B1745="","",IF(COUNTIF(Account_Map!$A$6:$A$31,$B1745)&gt;0,"Mapped","UNMAPPED"))</x:f>
      </x:c>
    </x:row>
    <x:row r="1746">
      <x:c r="A1746" s="290"/>
      <x:c r="F1746" s="400"/>
      <x:c r="I1746" s="392"/>
      <x:c r="J1746" t="str">
        <x:f>IF($B1746="","",IF(COUNTIF(Account_Map!$A$6:$A$31,$B1746)&gt;0,"Mapped","UNMAPPED"))</x:f>
      </x:c>
    </x:row>
    <x:row r="1747">
      <x:c r="A1747" s="290"/>
      <x:c r="F1747" s="400"/>
      <x:c r="I1747" s="392"/>
      <x:c r="J1747" t="str">
        <x:f>IF($B1747="","",IF(COUNTIF(Account_Map!$A$6:$A$31,$B1747)&gt;0,"Mapped","UNMAPPED"))</x:f>
      </x:c>
    </x:row>
    <x:row r="1748">
      <x:c r="A1748" s="290"/>
      <x:c r="F1748" s="400"/>
      <x:c r="I1748" s="392"/>
      <x:c r="J1748" t="str">
        <x:f>IF($B1748="","",IF(COUNTIF(Account_Map!$A$6:$A$31,$B1748)&gt;0,"Mapped","UNMAPPED"))</x:f>
      </x:c>
    </x:row>
    <x:row r="1749">
      <x:c r="A1749" s="290"/>
      <x:c r="F1749" s="400"/>
      <x:c r="I1749" s="392"/>
      <x:c r="J1749" t="str">
        <x:f>IF($B1749="","",IF(COUNTIF(Account_Map!$A$6:$A$31,$B1749)&gt;0,"Mapped","UNMAPPED"))</x:f>
      </x:c>
    </x:row>
    <x:row r="1750">
      <x:c r="A1750" s="290"/>
      <x:c r="F1750" s="400"/>
      <x:c r="I1750" s="392"/>
      <x:c r="J1750" t="str">
        <x:f>IF($B1750="","",IF(COUNTIF(Account_Map!$A$6:$A$31,$B1750)&gt;0,"Mapped","UNMAPPED"))</x:f>
      </x:c>
    </x:row>
    <x:row r="1751">
      <x:c r="A1751" s="290"/>
      <x:c r="F1751" s="400"/>
      <x:c r="I1751" s="392"/>
      <x:c r="J1751" t="str">
        <x:f>IF($B1751="","",IF(COUNTIF(Account_Map!$A$6:$A$31,$B1751)&gt;0,"Mapped","UNMAPPED"))</x:f>
      </x:c>
    </x:row>
    <x:row r="1752">
      <x:c r="A1752" s="290"/>
      <x:c r="F1752" s="400"/>
      <x:c r="I1752" s="392"/>
      <x:c r="J1752" t="str">
        <x:f>IF($B1752="","",IF(COUNTIF(Account_Map!$A$6:$A$31,$B1752)&gt;0,"Mapped","UNMAPPED"))</x:f>
      </x:c>
    </x:row>
    <x:row r="1753">
      <x:c r="A1753" s="290"/>
      <x:c r="F1753" s="400"/>
      <x:c r="I1753" s="392"/>
      <x:c r="J1753" t="str">
        <x:f>IF($B1753="","",IF(COUNTIF(Account_Map!$A$6:$A$31,$B1753)&gt;0,"Mapped","UNMAPPED"))</x:f>
      </x:c>
    </x:row>
    <x:row r="1754">
      <x:c r="A1754" s="290"/>
      <x:c r="F1754" s="400"/>
      <x:c r="I1754" s="392"/>
      <x:c r="J1754" t="str">
        <x:f>IF($B1754="","",IF(COUNTIF(Account_Map!$A$6:$A$31,$B1754)&gt;0,"Mapped","UNMAPPED"))</x:f>
      </x:c>
    </x:row>
    <x:row r="1755">
      <x:c r="A1755" s="290"/>
      <x:c r="F1755" s="400"/>
      <x:c r="I1755" s="392"/>
      <x:c r="J1755" t="str">
        <x:f>IF($B1755="","",IF(COUNTIF(Account_Map!$A$6:$A$31,$B1755)&gt;0,"Mapped","UNMAPPED"))</x:f>
      </x:c>
    </x:row>
    <x:row r="1756">
      <x:c r="A1756" s="290"/>
      <x:c r="F1756" s="400"/>
      <x:c r="I1756" s="392"/>
      <x:c r="J1756" t="str">
        <x:f>IF($B1756="","",IF(COUNTIF(Account_Map!$A$6:$A$31,$B1756)&gt;0,"Mapped","UNMAPPED"))</x:f>
      </x:c>
    </x:row>
    <x:row r="1757">
      <x:c r="A1757" s="290"/>
      <x:c r="F1757" s="400"/>
      <x:c r="I1757" s="392"/>
      <x:c r="J1757" t="str">
        <x:f>IF($B1757="","",IF(COUNTIF(Account_Map!$A$6:$A$31,$B1757)&gt;0,"Mapped","UNMAPPED"))</x:f>
      </x:c>
    </x:row>
    <x:row r="1758">
      <x:c r="A1758" s="290"/>
      <x:c r="F1758" s="400"/>
      <x:c r="I1758" s="392"/>
      <x:c r="J1758" t="str">
        <x:f>IF($B1758="","",IF(COUNTIF(Account_Map!$A$6:$A$31,$B1758)&gt;0,"Mapped","UNMAPPED"))</x:f>
      </x:c>
    </x:row>
    <x:row r="1759">
      <x:c r="A1759" s="290"/>
      <x:c r="F1759" s="400"/>
      <x:c r="I1759" s="392"/>
      <x:c r="J1759" t="str">
        <x:f>IF($B1759="","",IF(COUNTIF(Account_Map!$A$6:$A$31,$B1759)&gt;0,"Mapped","UNMAPPED"))</x:f>
      </x:c>
    </x:row>
    <x:row r="1760">
      <x:c r="A1760" s="290"/>
      <x:c r="F1760" s="400"/>
      <x:c r="I1760" s="392"/>
      <x:c r="J1760" t="str">
        <x:f>IF($B1760="","",IF(COUNTIF(Account_Map!$A$6:$A$31,$B1760)&gt;0,"Mapped","UNMAPPED"))</x:f>
      </x:c>
    </x:row>
    <x:row r="1761">
      <x:c r="A1761" s="290"/>
      <x:c r="F1761" s="400"/>
      <x:c r="I1761" s="392"/>
      <x:c r="J1761" t="str">
        <x:f>IF($B1761="","",IF(COUNTIF(Account_Map!$A$6:$A$31,$B1761)&gt;0,"Mapped","UNMAPPED"))</x:f>
      </x:c>
    </x:row>
    <x:row r="1762">
      <x:c r="A1762" s="290"/>
      <x:c r="F1762" s="400"/>
      <x:c r="I1762" s="392"/>
      <x:c r="J1762" t="str">
        <x:f>IF($B1762="","",IF(COUNTIF(Account_Map!$A$6:$A$31,$B1762)&gt;0,"Mapped","UNMAPPED"))</x:f>
      </x:c>
    </x:row>
    <x:row r="1763">
      <x:c r="A1763" s="290"/>
      <x:c r="F1763" s="400"/>
      <x:c r="I1763" s="392"/>
      <x:c r="J1763" t="str">
        <x:f>IF($B1763="","",IF(COUNTIF(Account_Map!$A$6:$A$31,$B1763)&gt;0,"Mapped","UNMAPPED"))</x:f>
      </x:c>
    </x:row>
    <x:row r="1764">
      <x:c r="A1764" s="290"/>
      <x:c r="F1764" s="400"/>
      <x:c r="I1764" s="392"/>
      <x:c r="J1764" t="str">
        <x:f>IF($B1764="","",IF(COUNTIF(Account_Map!$A$6:$A$31,$B1764)&gt;0,"Mapped","UNMAPPED"))</x:f>
      </x:c>
    </x:row>
    <x:row r="1765">
      <x:c r="A1765" s="290"/>
      <x:c r="F1765" s="400"/>
      <x:c r="I1765" s="392"/>
      <x:c r="J1765" t="str">
        <x:f>IF($B1765="","",IF(COUNTIF(Account_Map!$A$6:$A$31,$B1765)&gt;0,"Mapped","UNMAPPED"))</x:f>
      </x:c>
    </x:row>
    <x:row r="1766">
      <x:c r="A1766" s="290"/>
      <x:c r="F1766" s="400"/>
      <x:c r="I1766" s="392"/>
      <x:c r="J1766" t="str">
        <x:f>IF($B1766="","",IF(COUNTIF(Account_Map!$A$6:$A$31,$B1766)&gt;0,"Mapped","UNMAPPED"))</x:f>
      </x:c>
    </x:row>
    <x:row r="1767">
      <x:c r="A1767" s="290"/>
      <x:c r="F1767" s="400"/>
      <x:c r="I1767" s="392"/>
      <x:c r="J1767" t="str">
        <x:f>IF($B1767="","",IF(COUNTIF(Account_Map!$A$6:$A$31,$B1767)&gt;0,"Mapped","UNMAPPED"))</x:f>
      </x:c>
    </x:row>
    <x:row r="1768">
      <x:c r="A1768" s="290"/>
      <x:c r="F1768" s="400"/>
      <x:c r="I1768" s="392"/>
      <x:c r="J1768" t="str">
        <x:f>IF($B1768="","",IF(COUNTIF(Account_Map!$A$6:$A$31,$B1768)&gt;0,"Mapped","UNMAPPED"))</x:f>
      </x:c>
    </x:row>
    <x:row r="1769">
      <x:c r="A1769" s="290"/>
      <x:c r="F1769" s="400"/>
      <x:c r="I1769" s="392"/>
      <x:c r="J1769" t="str">
        <x:f>IF($B1769="","",IF(COUNTIF(Account_Map!$A$6:$A$31,$B1769)&gt;0,"Mapped","UNMAPPED"))</x:f>
      </x:c>
    </x:row>
    <x:row r="1770">
      <x:c r="A1770" s="290"/>
      <x:c r="F1770" s="400"/>
      <x:c r="I1770" s="392"/>
      <x:c r="J1770" t="str">
        <x:f>IF($B1770="","",IF(COUNTIF(Account_Map!$A$6:$A$31,$B1770)&gt;0,"Mapped","UNMAPPED"))</x:f>
      </x:c>
    </x:row>
    <x:row r="1771">
      <x:c r="A1771" s="290"/>
      <x:c r="F1771" s="400"/>
      <x:c r="I1771" s="392"/>
      <x:c r="J1771" t="str">
        <x:f>IF($B1771="","",IF(COUNTIF(Account_Map!$A$6:$A$31,$B1771)&gt;0,"Mapped","UNMAPPED"))</x:f>
      </x:c>
    </x:row>
    <x:row r="1772">
      <x:c r="A1772" s="290"/>
      <x:c r="F1772" s="400"/>
      <x:c r="I1772" s="392"/>
      <x:c r="J1772" t="str">
        <x:f>IF($B1772="","",IF(COUNTIF(Account_Map!$A$6:$A$31,$B1772)&gt;0,"Mapped","UNMAPPED"))</x:f>
      </x:c>
    </x:row>
    <x:row r="1773">
      <x:c r="A1773" s="290"/>
      <x:c r="F1773" s="400"/>
      <x:c r="I1773" s="392"/>
      <x:c r="J1773" t="str">
        <x:f>IF($B1773="","",IF(COUNTIF(Account_Map!$A$6:$A$31,$B1773)&gt;0,"Mapped","UNMAPPED"))</x:f>
      </x:c>
    </x:row>
    <x:row r="1774">
      <x:c r="A1774" s="290"/>
      <x:c r="F1774" s="400"/>
      <x:c r="I1774" s="392"/>
      <x:c r="J1774" t="str">
        <x:f>IF($B1774="","",IF(COUNTIF(Account_Map!$A$6:$A$31,$B1774)&gt;0,"Mapped","UNMAPPED"))</x:f>
      </x:c>
    </x:row>
    <x:row r="1775">
      <x:c r="A1775" s="290"/>
      <x:c r="F1775" s="400"/>
      <x:c r="I1775" s="392"/>
      <x:c r="J1775" t="str">
        <x:f>IF($B1775="","",IF(COUNTIF(Account_Map!$A$6:$A$31,$B1775)&gt;0,"Mapped","UNMAPPED"))</x:f>
      </x:c>
    </x:row>
    <x:row r="1776">
      <x:c r="A1776" s="290"/>
      <x:c r="F1776" s="400"/>
      <x:c r="I1776" s="392"/>
      <x:c r="J1776" t="str">
        <x:f>IF($B1776="","",IF(COUNTIF(Account_Map!$A$6:$A$31,$B1776)&gt;0,"Mapped","UNMAPPED"))</x:f>
      </x:c>
    </x:row>
    <x:row r="1777">
      <x:c r="A1777" s="290"/>
      <x:c r="F1777" s="400"/>
      <x:c r="I1777" s="392"/>
      <x:c r="J1777" t="str">
        <x:f>IF($B1777="","",IF(COUNTIF(Account_Map!$A$6:$A$31,$B1777)&gt;0,"Mapped","UNMAPPED"))</x:f>
      </x:c>
    </x:row>
    <x:row r="1778">
      <x:c r="A1778" s="290"/>
      <x:c r="F1778" s="400"/>
      <x:c r="I1778" s="392"/>
      <x:c r="J1778" t="str">
        <x:f>IF($B1778="","",IF(COUNTIF(Account_Map!$A$6:$A$31,$B1778)&gt;0,"Mapped","UNMAPPED"))</x:f>
      </x:c>
    </x:row>
    <x:row r="1779">
      <x:c r="A1779" s="290"/>
      <x:c r="F1779" s="400"/>
      <x:c r="I1779" s="392"/>
      <x:c r="J1779" t="str">
        <x:f>IF($B1779="","",IF(COUNTIF(Account_Map!$A$6:$A$31,$B1779)&gt;0,"Mapped","UNMAPPED"))</x:f>
      </x:c>
    </x:row>
    <x:row r="1780">
      <x:c r="A1780" s="290"/>
      <x:c r="F1780" s="400"/>
      <x:c r="I1780" s="392"/>
      <x:c r="J1780" t="str">
        <x:f>IF($B1780="","",IF(COUNTIF(Account_Map!$A$6:$A$31,$B1780)&gt;0,"Mapped","UNMAPPED"))</x:f>
      </x:c>
    </x:row>
    <x:row r="1781">
      <x:c r="A1781" s="290"/>
      <x:c r="F1781" s="400"/>
      <x:c r="I1781" s="392"/>
      <x:c r="J1781" t="str">
        <x:f>IF($B1781="","",IF(COUNTIF(Account_Map!$A$6:$A$31,$B1781)&gt;0,"Mapped","UNMAPPED"))</x:f>
      </x:c>
    </x:row>
    <x:row r="1782">
      <x:c r="A1782" s="290"/>
      <x:c r="F1782" s="400"/>
      <x:c r="I1782" s="392"/>
      <x:c r="J1782" t="str">
        <x:f>IF($B1782="","",IF(COUNTIF(Account_Map!$A$6:$A$31,$B1782)&gt;0,"Mapped","UNMAPPED"))</x:f>
      </x:c>
    </x:row>
    <x:row r="1783">
      <x:c r="A1783" s="290"/>
      <x:c r="F1783" s="400"/>
      <x:c r="I1783" s="392"/>
      <x:c r="J1783" t="str">
        <x:f>IF($B1783="","",IF(COUNTIF(Account_Map!$A$6:$A$31,$B1783)&gt;0,"Mapped","UNMAPPED"))</x:f>
      </x:c>
    </x:row>
    <x:row r="1784">
      <x:c r="A1784" s="290"/>
      <x:c r="F1784" s="400"/>
      <x:c r="I1784" s="392"/>
      <x:c r="J1784" t="str">
        <x:f>IF($B1784="","",IF(COUNTIF(Account_Map!$A$6:$A$31,$B1784)&gt;0,"Mapped","UNMAPPED"))</x:f>
      </x:c>
    </x:row>
    <x:row r="1785">
      <x:c r="A1785" s="290"/>
      <x:c r="F1785" s="400"/>
      <x:c r="I1785" s="392"/>
      <x:c r="J1785" t="str">
        <x:f>IF($B1785="","",IF(COUNTIF(Account_Map!$A$6:$A$31,$B1785)&gt;0,"Mapped","UNMAPPED"))</x:f>
      </x:c>
    </x:row>
    <x:row r="1786">
      <x:c r="A1786" s="290"/>
      <x:c r="F1786" s="400"/>
      <x:c r="I1786" s="392"/>
      <x:c r="J1786" t="str">
        <x:f>IF($B1786="","",IF(COUNTIF(Account_Map!$A$6:$A$31,$B1786)&gt;0,"Mapped","UNMAPPED"))</x:f>
      </x:c>
    </x:row>
    <x:row r="1787">
      <x:c r="A1787" s="290"/>
      <x:c r="F1787" s="400"/>
      <x:c r="I1787" s="392"/>
      <x:c r="J1787" t="str">
        <x:f>IF($B1787="","",IF(COUNTIF(Account_Map!$A$6:$A$31,$B1787)&gt;0,"Mapped","UNMAPPED"))</x:f>
      </x:c>
    </x:row>
    <x:row r="1788">
      <x:c r="A1788" s="290"/>
      <x:c r="F1788" s="400"/>
      <x:c r="I1788" s="392"/>
      <x:c r="J1788" t="str">
        <x:f>IF($B1788="","",IF(COUNTIF(Account_Map!$A$6:$A$31,$B1788)&gt;0,"Mapped","UNMAPPED"))</x:f>
      </x:c>
    </x:row>
    <x:row r="1789">
      <x:c r="A1789" s="290"/>
      <x:c r="F1789" s="400"/>
      <x:c r="I1789" s="392"/>
      <x:c r="J1789" t="str">
        <x:f>IF($B1789="","",IF(COUNTIF(Account_Map!$A$6:$A$31,$B1789)&gt;0,"Mapped","UNMAPPED"))</x:f>
      </x:c>
    </x:row>
    <x:row r="1790">
      <x:c r="A1790" s="290"/>
      <x:c r="F1790" s="400"/>
      <x:c r="I1790" s="392"/>
      <x:c r="J1790" t="str">
        <x:f>IF($B1790="","",IF(COUNTIF(Account_Map!$A$6:$A$31,$B1790)&gt;0,"Mapped","UNMAPPED"))</x:f>
      </x:c>
    </x:row>
    <x:row r="1791">
      <x:c r="A1791" s="290"/>
      <x:c r="F1791" s="400"/>
      <x:c r="I1791" s="392"/>
      <x:c r="J1791" t="str">
        <x:f>IF($B1791="","",IF(COUNTIF(Account_Map!$A$6:$A$31,$B1791)&gt;0,"Mapped","UNMAPPED"))</x:f>
      </x:c>
    </x:row>
    <x:row r="1792">
      <x:c r="A1792" s="290"/>
      <x:c r="F1792" s="400"/>
      <x:c r="I1792" s="392"/>
      <x:c r="J1792" t="str">
        <x:f>IF($B1792="","",IF(COUNTIF(Account_Map!$A$6:$A$31,$B1792)&gt;0,"Mapped","UNMAPPED"))</x:f>
      </x:c>
    </x:row>
    <x:row r="1793">
      <x:c r="A1793" s="290"/>
      <x:c r="F1793" s="400"/>
      <x:c r="I1793" s="392"/>
      <x:c r="J1793" t="str">
        <x:f>IF($B1793="","",IF(COUNTIF(Account_Map!$A$6:$A$31,$B1793)&gt;0,"Mapped","UNMAPPED"))</x:f>
      </x:c>
    </x:row>
    <x:row r="1794">
      <x:c r="A1794" s="290"/>
      <x:c r="F1794" s="400"/>
      <x:c r="I1794" s="392"/>
      <x:c r="J1794" t="str">
        <x:f>IF($B1794="","",IF(COUNTIF(Account_Map!$A$6:$A$31,$B1794)&gt;0,"Mapped","UNMAPPED"))</x:f>
      </x:c>
    </x:row>
    <x:row r="1795">
      <x:c r="A1795" s="290"/>
      <x:c r="F1795" s="400"/>
      <x:c r="I1795" s="392"/>
      <x:c r="J1795" t="str">
        <x:f>IF($B1795="","",IF(COUNTIF(Account_Map!$A$6:$A$31,$B1795)&gt;0,"Mapped","UNMAPPED"))</x:f>
      </x:c>
    </x:row>
    <x:row r="1796">
      <x:c r="A1796" s="290"/>
      <x:c r="F1796" s="400"/>
      <x:c r="I1796" s="392"/>
      <x:c r="J1796" t="str">
        <x:f>IF($B1796="","",IF(COUNTIF(Account_Map!$A$6:$A$31,$B1796)&gt;0,"Mapped","UNMAPPED"))</x:f>
      </x:c>
    </x:row>
    <x:row r="1797">
      <x:c r="A1797" s="290"/>
      <x:c r="F1797" s="400"/>
      <x:c r="I1797" s="392"/>
      <x:c r="J1797" t="str">
        <x:f>IF($B1797="","",IF(COUNTIF(Account_Map!$A$6:$A$31,$B1797)&gt;0,"Mapped","UNMAPPED"))</x:f>
      </x:c>
    </x:row>
    <x:row r="1798">
      <x:c r="A1798" s="290"/>
      <x:c r="F1798" s="400"/>
      <x:c r="I1798" s="392"/>
      <x:c r="J1798" t="str">
        <x:f>IF($B1798="","",IF(COUNTIF(Account_Map!$A$6:$A$31,$B1798)&gt;0,"Mapped","UNMAPPED"))</x:f>
      </x:c>
    </x:row>
    <x:row r="1799">
      <x:c r="A1799" s="290"/>
      <x:c r="F1799" s="400"/>
      <x:c r="I1799" s="392"/>
      <x:c r="J1799" t="str">
        <x:f>IF($B1799="","",IF(COUNTIF(Account_Map!$A$6:$A$31,$B1799)&gt;0,"Mapped","UNMAPPED"))</x:f>
      </x:c>
    </x:row>
    <x:row r="1800">
      <x:c r="A1800" s="290"/>
      <x:c r="F1800" s="400"/>
      <x:c r="I1800" s="392"/>
      <x:c r="J1800" t="str">
        <x:f>IF($B1800="","",IF(COUNTIF(Account_Map!$A$6:$A$31,$B1800)&gt;0,"Mapped","UNMAPPED"))</x:f>
      </x:c>
    </x:row>
    <x:row r="1801">
      <x:c r="A1801" s="290"/>
      <x:c r="F1801" s="400"/>
      <x:c r="I1801" s="392"/>
      <x:c r="J1801" t="str">
        <x:f>IF($B1801="","",IF(COUNTIF(Account_Map!$A$6:$A$31,$B1801)&gt;0,"Mapped","UNMAPPED"))</x:f>
      </x:c>
    </x:row>
    <x:row r="1802">
      <x:c r="A1802" s="290"/>
      <x:c r="F1802" s="400"/>
      <x:c r="I1802" s="392"/>
      <x:c r="J1802" t="str">
        <x:f>IF($B1802="","",IF(COUNTIF(Account_Map!$A$6:$A$31,$B1802)&gt;0,"Mapped","UNMAPPED"))</x:f>
      </x:c>
    </x:row>
    <x:row r="1803">
      <x:c r="A1803" s="290"/>
      <x:c r="F1803" s="400"/>
      <x:c r="I1803" s="392"/>
      <x:c r="J1803" t="str">
        <x:f>IF($B1803="","",IF(COUNTIF(Account_Map!$A$6:$A$31,$B1803)&gt;0,"Mapped","UNMAPPED"))</x:f>
      </x:c>
    </x:row>
    <x:row r="1804">
      <x:c r="A1804" s="290"/>
      <x:c r="F1804" s="400"/>
      <x:c r="I1804" s="392"/>
      <x:c r="J1804" t="str">
        <x:f>IF($B1804="","",IF(COUNTIF(Account_Map!$A$6:$A$31,$B1804)&gt;0,"Mapped","UNMAPPED"))</x:f>
      </x:c>
    </x:row>
    <x:row r="1805">
      <x:c r="A1805" s="290"/>
      <x:c r="F1805" s="400"/>
      <x:c r="I1805" s="392"/>
      <x:c r="J1805" t="str">
        <x:f>IF($B1805="","",IF(COUNTIF(Account_Map!$A$6:$A$31,$B1805)&gt;0,"Mapped","UNMAPPED"))</x:f>
      </x:c>
    </x:row>
    <x:row r="1806">
      <x:c r="A1806" s="290"/>
      <x:c r="F1806" s="400"/>
      <x:c r="I1806" s="392"/>
      <x:c r="J1806" t="str">
        <x:f>IF($B1806="","",IF(COUNTIF(Account_Map!$A$6:$A$31,$B1806)&gt;0,"Mapped","UNMAPPED"))</x:f>
      </x:c>
    </x:row>
    <x:row r="1807">
      <x:c r="A1807" s="290"/>
      <x:c r="F1807" s="400"/>
      <x:c r="I1807" s="392"/>
      <x:c r="J1807" t="str">
        <x:f>IF($B1807="","",IF(COUNTIF(Account_Map!$A$6:$A$31,$B1807)&gt;0,"Mapped","UNMAPPED"))</x:f>
      </x:c>
    </x:row>
    <x:row r="1808">
      <x:c r="A1808" s="290"/>
      <x:c r="F1808" s="400"/>
      <x:c r="I1808" s="392"/>
      <x:c r="J1808" t="str">
        <x:f>IF($B1808="","",IF(COUNTIF(Account_Map!$A$6:$A$31,$B1808)&gt;0,"Mapped","UNMAPPED"))</x:f>
      </x:c>
    </x:row>
    <x:row r="1809">
      <x:c r="A1809" s="290"/>
      <x:c r="F1809" s="400"/>
      <x:c r="I1809" s="392"/>
      <x:c r="J1809" t="str">
        <x:f>IF($B1809="","",IF(COUNTIF(Account_Map!$A$6:$A$31,$B1809)&gt;0,"Mapped","UNMAPPED"))</x:f>
      </x:c>
    </x:row>
    <x:row r="1810">
      <x:c r="A1810" s="290"/>
      <x:c r="F1810" s="400"/>
      <x:c r="I1810" s="392"/>
      <x:c r="J1810" t="str">
        <x:f>IF($B1810="","",IF(COUNTIF(Account_Map!$A$6:$A$31,$B1810)&gt;0,"Mapped","UNMAPPED"))</x:f>
      </x:c>
    </x:row>
    <x:row r="1811">
      <x:c r="A1811" s="290"/>
      <x:c r="F1811" s="400"/>
      <x:c r="I1811" s="392"/>
      <x:c r="J1811" t="str">
        <x:f>IF($B1811="","",IF(COUNTIF(Account_Map!$A$6:$A$31,$B1811)&gt;0,"Mapped","UNMAPPED"))</x:f>
      </x:c>
    </x:row>
    <x:row r="1812">
      <x:c r="A1812" s="290"/>
      <x:c r="F1812" s="400"/>
      <x:c r="I1812" s="392"/>
      <x:c r="J1812" t="str">
        <x:f>IF($B1812="","",IF(COUNTIF(Account_Map!$A$6:$A$31,$B1812)&gt;0,"Mapped","UNMAPPED"))</x:f>
      </x:c>
    </x:row>
    <x:row r="1813">
      <x:c r="A1813" s="290"/>
      <x:c r="F1813" s="400"/>
      <x:c r="I1813" s="392"/>
      <x:c r="J1813" t="str">
        <x:f>IF($B1813="","",IF(COUNTIF(Account_Map!$A$6:$A$31,$B1813)&gt;0,"Mapped","UNMAPPED"))</x:f>
      </x:c>
    </x:row>
    <x:row r="1814">
      <x:c r="A1814" s="290"/>
      <x:c r="F1814" s="400"/>
      <x:c r="I1814" s="392"/>
      <x:c r="J1814" t="str">
        <x:f>IF($B1814="","",IF(COUNTIF(Account_Map!$A$6:$A$31,$B1814)&gt;0,"Mapped","UNMAPPED"))</x:f>
      </x:c>
    </x:row>
    <x:row r="1815">
      <x:c r="A1815" s="290"/>
      <x:c r="F1815" s="400"/>
      <x:c r="I1815" s="392"/>
      <x:c r="J1815" t="str">
        <x:f>IF($B1815="","",IF(COUNTIF(Account_Map!$A$6:$A$31,$B1815)&gt;0,"Mapped","UNMAPPED"))</x:f>
      </x:c>
    </x:row>
    <x:row r="1816">
      <x:c r="A1816" s="290"/>
      <x:c r="F1816" s="400"/>
      <x:c r="I1816" s="392"/>
      <x:c r="J1816" t="str">
        <x:f>IF($B1816="","",IF(COUNTIF(Account_Map!$A$6:$A$31,$B1816)&gt;0,"Mapped","UNMAPPED"))</x:f>
      </x:c>
    </x:row>
    <x:row r="1817">
      <x:c r="A1817" s="290"/>
      <x:c r="F1817" s="400"/>
      <x:c r="I1817" s="392"/>
      <x:c r="J1817" t="str">
        <x:f>IF($B1817="","",IF(COUNTIF(Account_Map!$A$6:$A$31,$B1817)&gt;0,"Mapped","UNMAPPED"))</x:f>
      </x:c>
    </x:row>
    <x:row r="1818">
      <x:c r="A1818" s="290"/>
      <x:c r="F1818" s="400"/>
      <x:c r="I1818" s="392"/>
      <x:c r="J1818" t="str">
        <x:f>IF($B1818="","",IF(COUNTIF(Account_Map!$A$6:$A$31,$B1818)&gt;0,"Mapped","UNMAPPED"))</x:f>
      </x:c>
    </x:row>
    <x:row r="1819">
      <x:c r="A1819" s="290"/>
      <x:c r="F1819" s="400"/>
      <x:c r="I1819" s="392"/>
      <x:c r="J1819" t="str">
        <x:f>IF($B1819="","",IF(COUNTIF(Account_Map!$A$6:$A$31,$B1819)&gt;0,"Mapped","UNMAPPED"))</x:f>
      </x:c>
    </x:row>
    <x:row r="1820">
      <x:c r="A1820" s="290"/>
      <x:c r="F1820" s="400"/>
      <x:c r="I1820" s="392"/>
      <x:c r="J1820" t="str">
        <x:f>IF($B1820="","",IF(COUNTIF(Account_Map!$A$6:$A$31,$B1820)&gt;0,"Mapped","UNMAPPED"))</x:f>
      </x:c>
    </x:row>
    <x:row r="1821">
      <x:c r="A1821" s="290"/>
      <x:c r="F1821" s="400"/>
      <x:c r="I1821" s="392"/>
      <x:c r="J1821" t="str">
        <x:f>IF($B1821="","",IF(COUNTIF(Account_Map!$A$6:$A$31,$B1821)&gt;0,"Mapped","UNMAPPED"))</x:f>
      </x:c>
    </x:row>
    <x:row r="1822">
      <x:c r="A1822" s="290"/>
      <x:c r="F1822" s="400"/>
      <x:c r="I1822" s="392"/>
      <x:c r="J1822" t="str">
        <x:f>IF($B1822="","",IF(COUNTIF(Account_Map!$A$6:$A$31,$B1822)&gt;0,"Mapped","UNMAPPED"))</x:f>
      </x:c>
    </x:row>
    <x:row r="1823">
      <x:c r="A1823" s="290"/>
      <x:c r="F1823" s="400"/>
      <x:c r="I1823" s="392"/>
      <x:c r="J1823" t="str">
        <x:f>IF($B1823="","",IF(COUNTIF(Account_Map!$A$6:$A$31,$B1823)&gt;0,"Mapped","UNMAPPED"))</x:f>
      </x:c>
    </x:row>
    <x:row r="1824">
      <x:c r="A1824" s="290"/>
      <x:c r="F1824" s="400"/>
      <x:c r="I1824" s="392"/>
      <x:c r="J1824" t="str">
        <x:f>IF($B1824="","",IF(COUNTIF(Account_Map!$A$6:$A$31,$B1824)&gt;0,"Mapped","UNMAPPED"))</x:f>
      </x:c>
    </x:row>
    <x:row r="1825">
      <x:c r="A1825" s="290"/>
      <x:c r="F1825" s="400"/>
      <x:c r="I1825" s="392"/>
      <x:c r="J1825" t="str">
        <x:f>IF($B1825="","",IF(COUNTIF(Account_Map!$A$6:$A$31,$B1825)&gt;0,"Mapped","UNMAPPED"))</x:f>
      </x:c>
    </x:row>
    <x:row r="1826">
      <x:c r="A1826" s="290"/>
      <x:c r="F1826" s="400"/>
      <x:c r="I1826" s="392"/>
      <x:c r="J1826" t="str">
        <x:f>IF($B1826="","",IF(COUNTIF(Account_Map!$A$6:$A$31,$B1826)&gt;0,"Mapped","UNMAPPED"))</x:f>
      </x:c>
    </x:row>
    <x:row r="1827">
      <x:c r="A1827" s="290"/>
      <x:c r="F1827" s="400"/>
      <x:c r="I1827" s="392"/>
      <x:c r="J1827" t="str">
        <x:f>IF($B1827="","",IF(COUNTIF(Account_Map!$A$6:$A$31,$B1827)&gt;0,"Mapped","UNMAPPED"))</x:f>
      </x:c>
    </x:row>
    <x:row r="1828">
      <x:c r="A1828" s="290"/>
      <x:c r="F1828" s="400"/>
      <x:c r="I1828" s="392"/>
      <x:c r="J1828" t="str">
        <x:f>IF($B1828="","",IF(COUNTIF(Account_Map!$A$6:$A$31,$B1828)&gt;0,"Mapped","UNMAPPED"))</x:f>
      </x:c>
    </x:row>
    <x:row r="1829">
      <x:c r="A1829" s="290"/>
      <x:c r="F1829" s="400"/>
      <x:c r="I1829" s="392"/>
      <x:c r="J1829" t="str">
        <x:f>IF($B1829="","",IF(COUNTIF(Account_Map!$A$6:$A$31,$B1829)&gt;0,"Mapped","UNMAPPED"))</x:f>
      </x:c>
    </x:row>
    <x:row r="1830">
      <x:c r="A1830" s="290"/>
      <x:c r="F1830" s="400"/>
      <x:c r="I1830" s="392"/>
      <x:c r="J1830" t="str">
        <x:f>IF($B1830="","",IF(COUNTIF(Account_Map!$A$6:$A$31,$B1830)&gt;0,"Mapped","UNMAPPED"))</x:f>
      </x:c>
    </x:row>
    <x:row r="1831">
      <x:c r="A1831" s="290"/>
      <x:c r="F1831" s="400"/>
      <x:c r="I1831" s="392"/>
      <x:c r="J1831" t="str">
        <x:f>IF($B1831="","",IF(COUNTIF(Account_Map!$A$6:$A$31,$B1831)&gt;0,"Mapped","UNMAPPED"))</x:f>
      </x:c>
    </x:row>
    <x:row r="1832">
      <x:c r="A1832" s="290"/>
      <x:c r="F1832" s="400"/>
      <x:c r="I1832" s="392"/>
      <x:c r="J1832" t="str">
        <x:f>IF($B1832="","",IF(COUNTIF(Account_Map!$A$6:$A$31,$B1832)&gt;0,"Mapped","UNMAPPED"))</x:f>
      </x:c>
    </x:row>
    <x:row r="1833">
      <x:c r="A1833" s="290"/>
      <x:c r="F1833" s="400"/>
      <x:c r="I1833" s="392"/>
      <x:c r="J1833" t="str">
        <x:f>IF($B1833="","",IF(COUNTIF(Account_Map!$A$6:$A$31,$B1833)&gt;0,"Mapped","UNMAPPED"))</x:f>
      </x:c>
    </x:row>
    <x:row r="1834">
      <x:c r="A1834" s="290"/>
      <x:c r="F1834" s="400"/>
      <x:c r="I1834" s="392"/>
      <x:c r="J1834" t="str">
        <x:f>IF($B1834="","",IF(COUNTIF(Account_Map!$A$6:$A$31,$B1834)&gt;0,"Mapped","UNMAPPED"))</x:f>
      </x:c>
    </x:row>
    <x:row r="1835">
      <x:c r="A1835" s="290"/>
      <x:c r="F1835" s="400"/>
      <x:c r="I1835" s="392"/>
      <x:c r="J1835" t="str">
        <x:f>IF($B1835="","",IF(COUNTIF(Account_Map!$A$6:$A$31,$B1835)&gt;0,"Mapped","UNMAPPED"))</x:f>
      </x:c>
    </x:row>
    <x:row r="1836">
      <x:c r="A1836" s="290"/>
      <x:c r="F1836" s="400"/>
      <x:c r="I1836" s="392"/>
      <x:c r="J1836" t="str">
        <x:f>IF($B1836="","",IF(COUNTIF(Account_Map!$A$6:$A$31,$B1836)&gt;0,"Mapped","UNMAPPED"))</x:f>
      </x:c>
    </x:row>
    <x:row r="1837">
      <x:c r="A1837" s="290"/>
      <x:c r="F1837" s="400"/>
      <x:c r="I1837" s="392"/>
      <x:c r="J1837" t="str">
        <x:f>IF($B1837="","",IF(COUNTIF(Account_Map!$A$6:$A$31,$B1837)&gt;0,"Mapped","UNMAPPED"))</x:f>
      </x:c>
    </x:row>
    <x:row r="1838">
      <x:c r="A1838" s="290"/>
      <x:c r="F1838" s="400"/>
      <x:c r="I1838" s="392"/>
      <x:c r="J1838" t="str">
        <x:f>IF($B1838="","",IF(COUNTIF(Account_Map!$A$6:$A$31,$B1838)&gt;0,"Mapped","UNMAPPED"))</x:f>
      </x:c>
    </x:row>
    <x:row r="1839">
      <x:c r="A1839" s="290"/>
      <x:c r="F1839" s="400"/>
      <x:c r="I1839" s="392"/>
      <x:c r="J1839" t="str">
        <x:f>IF($B1839="","",IF(COUNTIF(Account_Map!$A$6:$A$31,$B1839)&gt;0,"Mapped","UNMAPPED"))</x:f>
      </x:c>
    </x:row>
    <x:row r="1840">
      <x:c r="A1840" s="290"/>
      <x:c r="F1840" s="400"/>
      <x:c r="I1840" s="392"/>
      <x:c r="J1840" t="str">
        <x:f>IF($B1840="","",IF(COUNTIF(Account_Map!$A$6:$A$31,$B1840)&gt;0,"Mapped","UNMAPPED"))</x:f>
      </x:c>
    </x:row>
    <x:row r="1841">
      <x:c r="A1841" s="290"/>
      <x:c r="F1841" s="400"/>
      <x:c r="I1841" s="392"/>
      <x:c r="J1841" t="str">
        <x:f>IF($B1841="","",IF(COUNTIF(Account_Map!$A$6:$A$31,$B1841)&gt;0,"Mapped","UNMAPPED"))</x:f>
      </x:c>
    </x:row>
    <x:row r="1842">
      <x:c r="A1842" s="290"/>
      <x:c r="F1842" s="400"/>
      <x:c r="I1842" s="392"/>
      <x:c r="J1842" t="str">
        <x:f>IF($B1842="","",IF(COUNTIF(Account_Map!$A$6:$A$31,$B1842)&gt;0,"Mapped","UNMAPPED"))</x:f>
      </x:c>
    </x:row>
    <x:row r="1843">
      <x:c r="A1843" s="290"/>
      <x:c r="F1843" s="400"/>
      <x:c r="I1843" s="392"/>
      <x:c r="J1843" t="str">
        <x:f>IF($B1843="","",IF(COUNTIF(Account_Map!$A$6:$A$31,$B1843)&gt;0,"Mapped","UNMAPPED"))</x:f>
      </x:c>
    </x:row>
    <x:row r="1844">
      <x:c r="A1844" s="290"/>
      <x:c r="F1844" s="400"/>
      <x:c r="I1844" s="392"/>
      <x:c r="J1844" t="str">
        <x:f>IF($B1844="","",IF(COUNTIF(Account_Map!$A$6:$A$31,$B1844)&gt;0,"Mapped","UNMAPPED"))</x:f>
      </x:c>
    </x:row>
    <x:row r="1845">
      <x:c r="A1845" s="290"/>
      <x:c r="F1845" s="400"/>
      <x:c r="I1845" s="392"/>
      <x:c r="J1845" t="str">
        <x:f>IF($B1845="","",IF(COUNTIF(Account_Map!$A$6:$A$31,$B1845)&gt;0,"Mapped","UNMAPPED"))</x:f>
      </x:c>
    </x:row>
    <x:row r="1846">
      <x:c r="A1846" s="290"/>
      <x:c r="F1846" s="400"/>
      <x:c r="I1846" s="392"/>
      <x:c r="J1846" t="str">
        <x:f>IF($B1846="","",IF(COUNTIF(Account_Map!$A$6:$A$31,$B1846)&gt;0,"Mapped","UNMAPPED"))</x:f>
      </x:c>
    </x:row>
    <x:row r="1847">
      <x:c r="A1847" s="290"/>
      <x:c r="F1847" s="400"/>
      <x:c r="I1847" s="392"/>
      <x:c r="J1847" t="str">
        <x:f>IF($B1847="","",IF(COUNTIF(Account_Map!$A$6:$A$31,$B1847)&gt;0,"Mapped","UNMAPPED"))</x:f>
      </x:c>
    </x:row>
    <x:row r="1848">
      <x:c r="A1848" s="290"/>
      <x:c r="F1848" s="400"/>
      <x:c r="I1848" s="392"/>
      <x:c r="J1848" t="str">
        <x:f>IF($B1848="","",IF(COUNTIF(Account_Map!$A$6:$A$31,$B1848)&gt;0,"Mapped","UNMAPPED"))</x:f>
      </x:c>
    </x:row>
    <x:row r="1849">
      <x:c r="A1849" s="290"/>
      <x:c r="F1849" s="400"/>
      <x:c r="I1849" s="392"/>
      <x:c r="J1849" t="str">
        <x:f>IF($B1849="","",IF(COUNTIF(Account_Map!$A$6:$A$31,$B1849)&gt;0,"Mapped","UNMAPPED"))</x:f>
      </x:c>
    </x:row>
    <x:row r="1850">
      <x:c r="A1850" s="290"/>
      <x:c r="F1850" s="400"/>
      <x:c r="I1850" s="392"/>
      <x:c r="J1850" t="str">
        <x:f>IF($B1850="","",IF(COUNTIF(Account_Map!$A$6:$A$31,$B1850)&gt;0,"Mapped","UNMAPPED"))</x:f>
      </x:c>
    </x:row>
    <x:row r="1851">
      <x:c r="A1851" s="290"/>
      <x:c r="F1851" s="400"/>
      <x:c r="I1851" s="392"/>
      <x:c r="J1851" t="str">
        <x:f>IF($B1851="","",IF(COUNTIF(Account_Map!$A$6:$A$31,$B1851)&gt;0,"Mapped","UNMAPPED"))</x:f>
      </x:c>
    </x:row>
    <x:row r="1852">
      <x:c r="A1852" s="290"/>
      <x:c r="F1852" s="400"/>
      <x:c r="I1852" s="392"/>
      <x:c r="J1852" t="str">
        <x:f>IF($B1852="","",IF(COUNTIF(Account_Map!$A$6:$A$31,$B1852)&gt;0,"Mapped","UNMAPPED"))</x:f>
      </x:c>
    </x:row>
    <x:row r="1853">
      <x:c r="A1853" s="290"/>
      <x:c r="F1853" s="400"/>
      <x:c r="I1853" s="392"/>
      <x:c r="J1853" t="str">
        <x:f>IF($B1853="","",IF(COUNTIF(Account_Map!$A$6:$A$31,$B1853)&gt;0,"Mapped","UNMAPPED"))</x:f>
      </x:c>
    </x:row>
    <x:row r="1854">
      <x:c r="A1854" s="290"/>
      <x:c r="F1854" s="400"/>
      <x:c r="I1854" s="392"/>
      <x:c r="J1854" t="str">
        <x:f>IF($B1854="","",IF(COUNTIF(Account_Map!$A$6:$A$31,$B1854)&gt;0,"Mapped","UNMAPPED"))</x:f>
      </x:c>
    </x:row>
    <x:row r="1855">
      <x:c r="A1855" s="290"/>
      <x:c r="F1855" s="400"/>
      <x:c r="I1855" s="392"/>
      <x:c r="J1855" t="str">
        <x:f>IF($B1855="","",IF(COUNTIF(Account_Map!$A$6:$A$31,$B1855)&gt;0,"Mapped","UNMAPPED"))</x:f>
      </x:c>
    </x:row>
    <x:row r="1856">
      <x:c r="A1856" s="290"/>
      <x:c r="F1856" s="400"/>
      <x:c r="I1856" s="392"/>
      <x:c r="J1856" t="str">
        <x:f>IF($B1856="","",IF(COUNTIF(Account_Map!$A$6:$A$31,$B1856)&gt;0,"Mapped","UNMAPPED"))</x:f>
      </x:c>
    </x:row>
    <x:row r="1857">
      <x:c r="A1857" s="290"/>
      <x:c r="F1857" s="400"/>
      <x:c r="I1857" s="392"/>
      <x:c r="J1857" t="str">
        <x:f>IF($B1857="","",IF(COUNTIF(Account_Map!$A$6:$A$31,$B1857)&gt;0,"Mapped","UNMAPPED"))</x:f>
      </x:c>
    </x:row>
    <x:row r="1858">
      <x:c r="A1858" s="290"/>
      <x:c r="F1858" s="400"/>
      <x:c r="I1858" s="392"/>
      <x:c r="J1858" t="str">
        <x:f>IF($B1858="","",IF(COUNTIF(Account_Map!$A$6:$A$31,$B1858)&gt;0,"Mapped","UNMAPPED"))</x:f>
      </x:c>
    </x:row>
    <x:row r="1859">
      <x:c r="A1859" s="290"/>
      <x:c r="F1859" s="400"/>
      <x:c r="I1859" s="392"/>
      <x:c r="J1859" t="str">
        <x:f>IF($B1859="","",IF(COUNTIF(Account_Map!$A$6:$A$31,$B1859)&gt;0,"Mapped","UNMAPPED"))</x:f>
      </x:c>
    </x:row>
    <x:row r="1860">
      <x:c r="A1860" s="290"/>
      <x:c r="F1860" s="400"/>
      <x:c r="I1860" s="392"/>
      <x:c r="J1860" t="str">
        <x:f>IF($B1860="","",IF(COUNTIF(Account_Map!$A$6:$A$31,$B1860)&gt;0,"Mapped","UNMAPPED"))</x:f>
      </x:c>
    </x:row>
    <x:row r="1861">
      <x:c r="A1861" s="290"/>
      <x:c r="F1861" s="400"/>
      <x:c r="I1861" s="392"/>
      <x:c r="J1861" t="str">
        <x:f>IF($B1861="","",IF(COUNTIF(Account_Map!$A$6:$A$31,$B1861)&gt;0,"Mapped","UNMAPPED"))</x:f>
      </x:c>
    </x:row>
    <x:row r="1862">
      <x:c r="A1862" s="290"/>
      <x:c r="F1862" s="400"/>
      <x:c r="I1862" s="392"/>
      <x:c r="J1862" t="str">
        <x:f>IF($B1862="","",IF(COUNTIF(Account_Map!$A$6:$A$31,$B1862)&gt;0,"Mapped","UNMAPPED"))</x:f>
      </x:c>
    </x:row>
    <x:row r="1863">
      <x:c r="A1863" s="290"/>
      <x:c r="F1863" s="400"/>
      <x:c r="I1863" s="392"/>
      <x:c r="J1863" t="str">
        <x:f>IF($B1863="","",IF(COUNTIF(Account_Map!$A$6:$A$31,$B1863)&gt;0,"Mapped","UNMAPPED"))</x:f>
      </x:c>
    </x:row>
    <x:row r="1864">
      <x:c r="A1864" s="290"/>
      <x:c r="F1864" s="400"/>
      <x:c r="I1864" s="392"/>
      <x:c r="J1864" t="str">
        <x:f>IF($B1864="","",IF(COUNTIF(Account_Map!$A$6:$A$31,$B1864)&gt;0,"Mapped","UNMAPPED"))</x:f>
      </x:c>
    </x:row>
    <x:row r="1865">
      <x:c r="A1865" s="290"/>
      <x:c r="F1865" s="400"/>
      <x:c r="I1865" s="392"/>
      <x:c r="J1865" t="str">
        <x:f>IF($B1865="","",IF(COUNTIF(Account_Map!$A$6:$A$31,$B1865)&gt;0,"Mapped","UNMAPPED"))</x:f>
      </x:c>
    </x:row>
    <x:row r="1866">
      <x:c r="A1866" s="290"/>
      <x:c r="F1866" s="400"/>
      <x:c r="I1866" s="392"/>
      <x:c r="J1866" t="str">
        <x:f>IF($B1866="","",IF(COUNTIF(Account_Map!$A$6:$A$31,$B1866)&gt;0,"Mapped","UNMAPPED"))</x:f>
      </x:c>
    </x:row>
    <x:row r="1867">
      <x:c r="A1867" s="290"/>
      <x:c r="F1867" s="400"/>
      <x:c r="I1867" s="392"/>
      <x:c r="J1867" t="str">
        <x:f>IF($B1867="","",IF(COUNTIF(Account_Map!$A$6:$A$31,$B1867)&gt;0,"Mapped","UNMAPPED"))</x:f>
      </x:c>
    </x:row>
    <x:row r="1868">
      <x:c r="A1868" s="290"/>
      <x:c r="F1868" s="400"/>
      <x:c r="I1868" s="392"/>
      <x:c r="J1868" t="str">
        <x:f>IF($B1868="","",IF(COUNTIF(Account_Map!$A$6:$A$31,$B1868)&gt;0,"Mapped","UNMAPPED"))</x:f>
      </x:c>
    </x:row>
    <x:row r="1869">
      <x:c r="A1869" s="290"/>
      <x:c r="F1869" s="400"/>
      <x:c r="I1869" s="392"/>
      <x:c r="J1869" t="str">
        <x:f>IF($B1869="","",IF(COUNTIF(Account_Map!$A$6:$A$31,$B1869)&gt;0,"Mapped","UNMAPPED"))</x:f>
      </x:c>
    </x:row>
    <x:row r="1870">
      <x:c r="A1870" s="290"/>
      <x:c r="F1870" s="400"/>
      <x:c r="I1870" s="392"/>
      <x:c r="J1870" t="str">
        <x:f>IF($B1870="","",IF(COUNTIF(Account_Map!$A$6:$A$31,$B1870)&gt;0,"Mapped","UNMAPPED"))</x:f>
      </x:c>
    </x:row>
    <x:row r="1871">
      <x:c r="A1871" s="290"/>
      <x:c r="F1871" s="400"/>
      <x:c r="I1871" s="392"/>
      <x:c r="J1871" t="str">
        <x:f>IF($B1871="","",IF(COUNTIF(Account_Map!$A$6:$A$31,$B1871)&gt;0,"Mapped","UNMAPPED"))</x:f>
      </x:c>
    </x:row>
    <x:row r="1872">
      <x:c r="A1872" s="290"/>
      <x:c r="F1872" s="400"/>
      <x:c r="I1872" s="392"/>
      <x:c r="J1872" t="str">
        <x:f>IF($B1872="","",IF(COUNTIF(Account_Map!$A$6:$A$31,$B1872)&gt;0,"Mapped","UNMAPPED"))</x:f>
      </x:c>
    </x:row>
    <x:row r="1873">
      <x:c r="A1873" s="290"/>
      <x:c r="F1873" s="400"/>
      <x:c r="I1873" s="392"/>
      <x:c r="J1873" t="str">
        <x:f>IF($B1873="","",IF(COUNTIF(Account_Map!$A$6:$A$31,$B1873)&gt;0,"Mapped","UNMAPPED"))</x:f>
      </x:c>
    </x:row>
    <x:row r="1874">
      <x:c r="A1874" s="290"/>
      <x:c r="F1874" s="400"/>
      <x:c r="I1874" s="392"/>
      <x:c r="J1874" t="str">
        <x:f>IF($B1874="","",IF(COUNTIF(Account_Map!$A$6:$A$31,$B1874)&gt;0,"Mapped","UNMAPPED"))</x:f>
      </x:c>
    </x:row>
    <x:row r="1875">
      <x:c r="A1875" s="290"/>
      <x:c r="F1875" s="400"/>
      <x:c r="I1875" s="392"/>
      <x:c r="J1875" t="str">
        <x:f>IF($B1875="","",IF(COUNTIF(Account_Map!$A$6:$A$31,$B1875)&gt;0,"Mapped","UNMAPPED"))</x:f>
      </x:c>
    </x:row>
    <x:row r="1876">
      <x:c r="A1876" s="290"/>
      <x:c r="F1876" s="400"/>
      <x:c r="I1876" s="392"/>
      <x:c r="J1876" t="str">
        <x:f>IF($B1876="","",IF(COUNTIF(Account_Map!$A$6:$A$31,$B1876)&gt;0,"Mapped","UNMAPPED"))</x:f>
      </x:c>
    </x:row>
    <x:row r="1877">
      <x:c r="A1877" s="290"/>
      <x:c r="F1877" s="400"/>
      <x:c r="I1877" s="392"/>
      <x:c r="J1877" t="str">
        <x:f>IF($B1877="","",IF(COUNTIF(Account_Map!$A$6:$A$31,$B1877)&gt;0,"Mapped","UNMAPPED"))</x:f>
      </x:c>
    </x:row>
    <x:row r="1878">
      <x:c r="A1878" s="290"/>
      <x:c r="F1878" s="400"/>
      <x:c r="I1878" s="392"/>
      <x:c r="J1878" t="str">
        <x:f>IF($B1878="","",IF(COUNTIF(Account_Map!$A$6:$A$31,$B1878)&gt;0,"Mapped","UNMAPPED"))</x:f>
      </x:c>
    </x:row>
    <x:row r="1879">
      <x:c r="A1879" s="290"/>
      <x:c r="F1879" s="400"/>
      <x:c r="I1879" s="392"/>
      <x:c r="J1879" t="str">
        <x:f>IF($B1879="","",IF(COUNTIF(Account_Map!$A$6:$A$31,$B1879)&gt;0,"Mapped","UNMAPPED"))</x:f>
      </x:c>
    </x:row>
    <x:row r="1880">
      <x:c r="A1880" s="290"/>
      <x:c r="F1880" s="400"/>
      <x:c r="I1880" s="392"/>
      <x:c r="J1880" t="str">
        <x:f>IF($B1880="","",IF(COUNTIF(Account_Map!$A$6:$A$31,$B1880)&gt;0,"Mapped","UNMAPPED"))</x:f>
      </x:c>
    </x:row>
    <x:row r="1881">
      <x:c r="A1881" s="290"/>
      <x:c r="F1881" s="400"/>
      <x:c r="I1881" s="392"/>
      <x:c r="J1881" t="str">
        <x:f>IF($B1881="","",IF(COUNTIF(Account_Map!$A$6:$A$31,$B1881)&gt;0,"Mapped","UNMAPPED"))</x:f>
      </x:c>
    </x:row>
    <x:row r="1882">
      <x:c r="A1882" s="290"/>
      <x:c r="F1882" s="400"/>
      <x:c r="I1882" s="392"/>
      <x:c r="J1882" t="str">
        <x:f>IF($B1882="","",IF(COUNTIF(Account_Map!$A$6:$A$31,$B1882)&gt;0,"Mapped","UNMAPPED"))</x:f>
      </x:c>
    </x:row>
    <x:row r="1883">
      <x:c r="A1883" s="290"/>
      <x:c r="F1883" s="400"/>
      <x:c r="I1883" s="392"/>
      <x:c r="J1883" t="str">
        <x:f>IF($B1883="","",IF(COUNTIF(Account_Map!$A$6:$A$31,$B1883)&gt;0,"Mapped","UNMAPPED"))</x:f>
      </x:c>
    </x:row>
    <x:row r="1884">
      <x:c r="A1884" s="290"/>
      <x:c r="F1884" s="400"/>
      <x:c r="I1884" s="392"/>
      <x:c r="J1884" t="str">
        <x:f>IF($B1884="","",IF(COUNTIF(Account_Map!$A$6:$A$31,$B1884)&gt;0,"Mapped","UNMAPPED"))</x:f>
      </x:c>
    </x:row>
    <x:row r="1885">
      <x:c r="A1885" s="290"/>
      <x:c r="F1885" s="400"/>
      <x:c r="I1885" s="392"/>
      <x:c r="J1885" t="str">
        <x:f>IF($B1885="","",IF(COUNTIF(Account_Map!$A$6:$A$31,$B1885)&gt;0,"Mapped","UNMAPPED"))</x:f>
      </x:c>
    </x:row>
    <x:row r="1886">
      <x:c r="A1886" s="290"/>
      <x:c r="F1886" s="400"/>
      <x:c r="I1886" s="392"/>
      <x:c r="J1886" t="str">
        <x:f>IF($B1886="","",IF(COUNTIF(Account_Map!$A$6:$A$31,$B1886)&gt;0,"Mapped","UNMAPPED"))</x:f>
      </x:c>
    </x:row>
    <x:row r="1887">
      <x:c r="A1887" s="290"/>
      <x:c r="F1887" s="400"/>
      <x:c r="I1887" s="392"/>
      <x:c r="J1887" t="str">
        <x:f>IF($B1887="","",IF(COUNTIF(Account_Map!$A$6:$A$31,$B1887)&gt;0,"Mapped","UNMAPPED"))</x:f>
      </x:c>
    </x:row>
    <x:row r="1888">
      <x:c r="A1888" s="290"/>
      <x:c r="F1888" s="400"/>
      <x:c r="I1888" s="392"/>
      <x:c r="J1888" t="str">
        <x:f>IF($B1888="","",IF(COUNTIF(Account_Map!$A$6:$A$31,$B1888)&gt;0,"Mapped","UNMAPPED"))</x:f>
      </x:c>
    </x:row>
    <x:row r="1889">
      <x:c r="A1889" s="290"/>
      <x:c r="F1889" s="400"/>
      <x:c r="I1889" s="392"/>
      <x:c r="J1889" t="str">
        <x:f>IF($B1889="","",IF(COUNTIF(Account_Map!$A$6:$A$31,$B1889)&gt;0,"Mapped","UNMAPPED"))</x:f>
      </x:c>
    </x:row>
    <x:row r="1890">
      <x:c r="A1890" s="290"/>
      <x:c r="F1890" s="400"/>
      <x:c r="I1890" s="392"/>
      <x:c r="J1890" t="str">
        <x:f>IF($B1890="","",IF(COUNTIF(Account_Map!$A$6:$A$31,$B1890)&gt;0,"Mapped","UNMAPPED"))</x:f>
      </x:c>
    </x:row>
    <x:row r="1891">
      <x:c r="A1891" s="290"/>
      <x:c r="F1891" s="400"/>
      <x:c r="I1891" s="392"/>
      <x:c r="J1891" t="str">
        <x:f>IF($B1891="","",IF(COUNTIF(Account_Map!$A$6:$A$31,$B1891)&gt;0,"Mapped","UNMAPPED"))</x:f>
      </x:c>
    </x:row>
    <x:row r="1892">
      <x:c r="A1892" s="290"/>
      <x:c r="F1892" s="400"/>
      <x:c r="I1892" s="392"/>
      <x:c r="J1892" t="str">
        <x:f>IF($B1892="","",IF(COUNTIF(Account_Map!$A$6:$A$31,$B1892)&gt;0,"Mapped","UNMAPPED"))</x:f>
      </x:c>
    </x:row>
    <x:row r="1893">
      <x:c r="A1893" s="290"/>
      <x:c r="F1893" s="400"/>
      <x:c r="I1893" s="392"/>
      <x:c r="J1893" t="str">
        <x:f>IF($B1893="","",IF(COUNTIF(Account_Map!$A$6:$A$31,$B1893)&gt;0,"Mapped","UNMAPPED"))</x:f>
      </x:c>
    </x:row>
    <x:row r="1894">
      <x:c r="A1894" s="290"/>
      <x:c r="F1894" s="400"/>
      <x:c r="I1894" s="392"/>
      <x:c r="J1894" t="str">
        <x:f>IF($B1894="","",IF(COUNTIF(Account_Map!$A$6:$A$31,$B1894)&gt;0,"Mapped","UNMAPPED"))</x:f>
      </x:c>
    </x:row>
    <x:row r="1895">
      <x:c r="A1895" s="290"/>
      <x:c r="F1895" s="400"/>
      <x:c r="I1895" s="392"/>
      <x:c r="J1895" t="str">
        <x:f>IF($B1895="","",IF(COUNTIF(Account_Map!$A$6:$A$31,$B1895)&gt;0,"Mapped","UNMAPPED"))</x:f>
      </x:c>
    </x:row>
    <x:row r="1896">
      <x:c r="A1896" s="290"/>
      <x:c r="F1896" s="400"/>
      <x:c r="I1896" s="392"/>
      <x:c r="J1896" t="str">
        <x:f>IF($B1896="","",IF(COUNTIF(Account_Map!$A$6:$A$31,$B1896)&gt;0,"Mapped","UNMAPPED"))</x:f>
      </x:c>
    </x:row>
    <x:row r="1897">
      <x:c r="A1897" s="290"/>
      <x:c r="F1897" s="400"/>
      <x:c r="I1897" s="392"/>
      <x:c r="J1897" t="str">
        <x:f>IF($B1897="","",IF(COUNTIF(Account_Map!$A$6:$A$31,$B1897)&gt;0,"Mapped","UNMAPPED"))</x:f>
      </x:c>
    </x:row>
    <x:row r="1898">
      <x:c r="A1898" s="290"/>
      <x:c r="F1898" s="400"/>
      <x:c r="I1898" s="392"/>
      <x:c r="J1898" t="str">
        <x:f>IF($B1898="","",IF(COUNTIF(Account_Map!$A$6:$A$31,$B1898)&gt;0,"Mapped","UNMAPPED"))</x:f>
      </x:c>
    </x:row>
    <x:row r="1899">
      <x:c r="A1899" s="290"/>
      <x:c r="F1899" s="400"/>
      <x:c r="I1899" s="392"/>
      <x:c r="J1899" t="str">
        <x:f>IF($B1899="","",IF(COUNTIF(Account_Map!$A$6:$A$31,$B1899)&gt;0,"Mapped","UNMAPPED"))</x:f>
      </x:c>
    </x:row>
    <x:row r="1900">
      <x:c r="A1900" s="290"/>
      <x:c r="F1900" s="400"/>
      <x:c r="I1900" s="392"/>
      <x:c r="J1900" t="str">
        <x:f>IF($B1900="","",IF(COUNTIF(Account_Map!$A$6:$A$31,$B1900)&gt;0,"Mapped","UNMAPPED"))</x:f>
      </x:c>
    </x:row>
    <x:row r="1901">
      <x:c r="A1901" s="290"/>
      <x:c r="F1901" s="400"/>
      <x:c r="I1901" s="392"/>
      <x:c r="J1901" t="str">
        <x:f>IF($B1901="","",IF(COUNTIF(Account_Map!$A$6:$A$31,$B1901)&gt;0,"Mapped","UNMAPPED"))</x:f>
      </x:c>
    </x:row>
    <x:row r="1902">
      <x:c r="A1902" s="290"/>
      <x:c r="F1902" s="400"/>
      <x:c r="I1902" s="392"/>
      <x:c r="J1902" t="str">
        <x:f>IF($B1902="","",IF(COUNTIF(Account_Map!$A$6:$A$31,$B1902)&gt;0,"Mapped","UNMAPPED"))</x:f>
      </x:c>
    </x:row>
    <x:row r="1903">
      <x:c r="A1903" s="290"/>
      <x:c r="F1903" s="400"/>
      <x:c r="I1903" s="392"/>
      <x:c r="J1903" t="str">
        <x:f>IF($B1903="","",IF(COUNTIF(Account_Map!$A$6:$A$31,$B1903)&gt;0,"Mapped","UNMAPPED"))</x:f>
      </x:c>
    </x:row>
    <x:row r="1904">
      <x:c r="A1904" s="290"/>
      <x:c r="F1904" s="400"/>
      <x:c r="I1904" s="392"/>
      <x:c r="J1904" t="str">
        <x:f>IF($B1904="","",IF(COUNTIF(Account_Map!$A$6:$A$31,$B1904)&gt;0,"Mapped","UNMAPPED"))</x:f>
      </x:c>
    </x:row>
    <x:row r="1905">
      <x:c r="A1905" s="290"/>
      <x:c r="F1905" s="400"/>
      <x:c r="I1905" s="392"/>
      <x:c r="J1905" t="str">
        <x:f>IF($B1905="","",IF(COUNTIF(Account_Map!$A$6:$A$31,$B1905)&gt;0,"Mapped","UNMAPPED"))</x:f>
      </x:c>
    </x:row>
    <x:row r="1906">
      <x:c r="A1906" s="290"/>
      <x:c r="F1906" s="400"/>
      <x:c r="I1906" s="392"/>
      <x:c r="J1906" t="str">
        <x:f>IF($B1906="","",IF(COUNTIF(Account_Map!$A$6:$A$31,$B1906)&gt;0,"Mapped","UNMAPPED"))</x:f>
      </x:c>
    </x:row>
    <x:row r="1907">
      <x:c r="A1907" s="290"/>
      <x:c r="F1907" s="400"/>
      <x:c r="I1907" s="392"/>
      <x:c r="J1907" t="str">
        <x:f>IF($B1907="","",IF(COUNTIF(Account_Map!$A$6:$A$31,$B1907)&gt;0,"Mapped","UNMAPPED"))</x:f>
      </x:c>
    </x:row>
    <x:row r="1908">
      <x:c r="A1908" s="290"/>
      <x:c r="F1908" s="400"/>
      <x:c r="I1908" s="392"/>
      <x:c r="J1908" t="str">
        <x:f>IF($B1908="","",IF(COUNTIF(Account_Map!$A$6:$A$31,$B1908)&gt;0,"Mapped","UNMAPPED"))</x:f>
      </x:c>
    </x:row>
    <x:row r="1909">
      <x:c r="A1909" s="290"/>
      <x:c r="F1909" s="400"/>
      <x:c r="I1909" s="392"/>
      <x:c r="J1909" t="str">
        <x:f>IF($B1909="","",IF(COUNTIF(Account_Map!$A$6:$A$31,$B1909)&gt;0,"Mapped","UNMAPPED"))</x:f>
      </x:c>
    </x:row>
    <x:row r="1910">
      <x:c r="A1910" s="290"/>
      <x:c r="F1910" s="400"/>
      <x:c r="I1910" s="392"/>
      <x:c r="J1910" t="str">
        <x:f>IF($B1910="","",IF(COUNTIF(Account_Map!$A$6:$A$31,$B1910)&gt;0,"Mapped","UNMAPPED"))</x:f>
      </x:c>
    </x:row>
    <x:row r="1911">
      <x:c r="A1911" s="290"/>
      <x:c r="F1911" s="400"/>
      <x:c r="I1911" s="392"/>
      <x:c r="J1911" t="str">
        <x:f>IF($B1911="","",IF(COUNTIF(Account_Map!$A$6:$A$31,$B1911)&gt;0,"Mapped","UNMAPPED"))</x:f>
      </x:c>
    </x:row>
    <x:row r="1912">
      <x:c r="A1912" s="290"/>
      <x:c r="F1912" s="400"/>
      <x:c r="I1912" s="392"/>
      <x:c r="J1912" t="str">
        <x:f>IF($B1912="","",IF(COUNTIF(Account_Map!$A$6:$A$31,$B1912)&gt;0,"Mapped","UNMAPPED"))</x:f>
      </x:c>
    </x:row>
    <x:row r="1913">
      <x:c r="A1913" s="290"/>
      <x:c r="F1913" s="400"/>
      <x:c r="I1913" s="392"/>
      <x:c r="J1913" t="str">
        <x:f>IF($B1913="","",IF(COUNTIF(Account_Map!$A$6:$A$31,$B1913)&gt;0,"Mapped","UNMAPPED"))</x:f>
      </x:c>
    </x:row>
    <x:row r="1914">
      <x:c r="A1914" s="290"/>
      <x:c r="F1914" s="400"/>
      <x:c r="I1914" s="392"/>
      <x:c r="J1914" t="str">
        <x:f>IF($B1914="","",IF(COUNTIF(Account_Map!$A$6:$A$31,$B1914)&gt;0,"Mapped","UNMAPPED"))</x:f>
      </x:c>
    </x:row>
    <x:row r="1915">
      <x:c r="A1915" s="290"/>
      <x:c r="F1915" s="400"/>
      <x:c r="I1915" s="392"/>
      <x:c r="J1915" t="str">
        <x:f>IF($B1915="","",IF(COUNTIF(Account_Map!$A$6:$A$31,$B1915)&gt;0,"Mapped","UNMAPPED"))</x:f>
      </x:c>
    </x:row>
    <x:row r="1916">
      <x:c r="A1916" s="290"/>
      <x:c r="F1916" s="400"/>
      <x:c r="I1916" s="392"/>
      <x:c r="J1916" t="str">
        <x:f>IF($B1916="","",IF(COUNTIF(Account_Map!$A$6:$A$31,$B1916)&gt;0,"Mapped","UNMAPPED"))</x:f>
      </x:c>
    </x:row>
    <x:row r="1917">
      <x:c r="A1917" s="290"/>
      <x:c r="F1917" s="400"/>
      <x:c r="I1917" s="392"/>
      <x:c r="J1917" t="str">
        <x:f>IF($B1917="","",IF(COUNTIF(Account_Map!$A$6:$A$31,$B1917)&gt;0,"Mapped","UNMAPPED"))</x:f>
      </x:c>
    </x:row>
    <x:row r="1918">
      <x:c r="A1918" s="290"/>
      <x:c r="F1918" s="400"/>
      <x:c r="I1918" s="392"/>
      <x:c r="J1918" t="str">
        <x:f>IF($B1918="","",IF(COUNTIF(Account_Map!$A$6:$A$31,$B1918)&gt;0,"Mapped","UNMAPPED"))</x:f>
      </x:c>
    </x:row>
    <x:row r="1919">
      <x:c r="A1919" s="290"/>
      <x:c r="F1919" s="400"/>
      <x:c r="I1919" s="392"/>
      <x:c r="J1919" t="str">
        <x:f>IF($B1919="","",IF(COUNTIF(Account_Map!$A$6:$A$31,$B1919)&gt;0,"Mapped","UNMAPPED"))</x:f>
      </x:c>
    </x:row>
    <x:row r="1920">
      <x:c r="A1920" s="290"/>
      <x:c r="F1920" s="400"/>
      <x:c r="I1920" s="392"/>
      <x:c r="J1920" t="str">
        <x:f>IF($B1920="","",IF(COUNTIF(Account_Map!$A$6:$A$31,$B1920)&gt;0,"Mapped","UNMAPPED"))</x:f>
      </x:c>
    </x:row>
    <x:row r="1921">
      <x:c r="A1921" s="290"/>
      <x:c r="F1921" s="400"/>
      <x:c r="I1921" s="392"/>
      <x:c r="J1921" t="str">
        <x:f>IF($B1921="","",IF(COUNTIF(Account_Map!$A$6:$A$31,$B1921)&gt;0,"Mapped","UNMAPPED"))</x:f>
      </x:c>
    </x:row>
    <x:row r="1922">
      <x:c r="A1922" s="290"/>
      <x:c r="F1922" s="400"/>
      <x:c r="I1922" s="392"/>
      <x:c r="J1922" t="str">
        <x:f>IF($B1922="","",IF(COUNTIF(Account_Map!$A$6:$A$31,$B1922)&gt;0,"Mapped","UNMAPPED"))</x:f>
      </x:c>
    </x:row>
    <x:row r="1923">
      <x:c r="A1923" s="290"/>
      <x:c r="F1923" s="400"/>
      <x:c r="I1923" s="392"/>
      <x:c r="J1923" t="str">
        <x:f>IF($B1923="","",IF(COUNTIF(Account_Map!$A$6:$A$31,$B1923)&gt;0,"Mapped","UNMAPPED"))</x:f>
      </x:c>
    </x:row>
    <x:row r="1924">
      <x:c r="A1924" s="290"/>
      <x:c r="F1924" s="400"/>
      <x:c r="I1924" s="392"/>
      <x:c r="J1924" t="str">
        <x:f>IF($B1924="","",IF(COUNTIF(Account_Map!$A$6:$A$31,$B1924)&gt;0,"Mapped","UNMAPPED"))</x:f>
      </x:c>
    </x:row>
    <x:row r="1925">
      <x:c r="A1925" s="290"/>
      <x:c r="F1925" s="400"/>
      <x:c r="I1925" s="392"/>
      <x:c r="J1925" t="str">
        <x:f>IF($B1925="","",IF(COUNTIF(Account_Map!$A$6:$A$31,$B1925)&gt;0,"Mapped","UNMAPPED"))</x:f>
      </x:c>
    </x:row>
    <x:row r="1926">
      <x:c r="A1926" s="290"/>
      <x:c r="F1926" s="400"/>
      <x:c r="I1926" s="392"/>
      <x:c r="J1926" t="str">
        <x:f>IF($B1926="","",IF(COUNTIF(Account_Map!$A$6:$A$31,$B1926)&gt;0,"Mapped","UNMAPPED"))</x:f>
      </x:c>
    </x:row>
    <x:row r="1927">
      <x:c r="A1927" s="290"/>
      <x:c r="F1927" s="400"/>
      <x:c r="I1927" s="392"/>
      <x:c r="J1927" t="str">
        <x:f>IF($B1927="","",IF(COUNTIF(Account_Map!$A$6:$A$31,$B1927)&gt;0,"Mapped","UNMAPPED"))</x:f>
      </x:c>
    </x:row>
    <x:row r="1928">
      <x:c r="A1928" s="290"/>
      <x:c r="F1928" s="400"/>
      <x:c r="I1928" s="392"/>
      <x:c r="J1928" t="str">
        <x:f>IF($B1928="","",IF(COUNTIF(Account_Map!$A$6:$A$31,$B1928)&gt;0,"Mapped","UNMAPPED"))</x:f>
      </x:c>
    </x:row>
    <x:row r="1929">
      <x:c r="A1929" s="290"/>
      <x:c r="F1929" s="400"/>
      <x:c r="I1929" s="392"/>
      <x:c r="J1929" t="str">
        <x:f>IF($B1929="","",IF(COUNTIF(Account_Map!$A$6:$A$31,$B1929)&gt;0,"Mapped","UNMAPPED"))</x:f>
      </x:c>
    </x:row>
    <x:row r="1930">
      <x:c r="A1930" s="290"/>
      <x:c r="F1930" s="400"/>
      <x:c r="I1930" s="392"/>
      <x:c r="J1930" t="str">
        <x:f>IF($B1930="","",IF(COUNTIF(Account_Map!$A$6:$A$31,$B1930)&gt;0,"Mapped","UNMAPPED"))</x:f>
      </x:c>
    </x:row>
    <x:row r="1931">
      <x:c r="A1931" s="290"/>
      <x:c r="F1931" s="400"/>
      <x:c r="I1931" s="392"/>
      <x:c r="J1931" t="str">
        <x:f>IF($B1931="","",IF(COUNTIF(Account_Map!$A$6:$A$31,$B1931)&gt;0,"Mapped","UNMAPPED"))</x:f>
      </x:c>
    </x:row>
    <x:row r="1932">
      <x:c r="A1932" s="290"/>
      <x:c r="F1932" s="400"/>
      <x:c r="I1932" s="392"/>
      <x:c r="J1932" t="str">
        <x:f>IF($B1932="","",IF(COUNTIF(Account_Map!$A$6:$A$31,$B1932)&gt;0,"Mapped","UNMAPPED"))</x:f>
      </x:c>
    </x:row>
    <x:row r="1933">
      <x:c r="A1933" s="290"/>
      <x:c r="F1933" s="400"/>
      <x:c r="I1933" s="392"/>
      <x:c r="J1933" t="str">
        <x:f>IF($B1933="","",IF(COUNTIF(Account_Map!$A$6:$A$31,$B1933)&gt;0,"Mapped","UNMAPPED"))</x:f>
      </x:c>
    </x:row>
    <x:row r="1934">
      <x:c r="A1934" s="290"/>
      <x:c r="F1934" s="400"/>
      <x:c r="I1934" s="392"/>
      <x:c r="J1934" t="str">
        <x:f>IF($B1934="","",IF(COUNTIF(Account_Map!$A$6:$A$31,$B1934)&gt;0,"Mapped","UNMAPPED"))</x:f>
      </x:c>
    </x:row>
    <x:row r="1935">
      <x:c r="A1935" s="290"/>
      <x:c r="F1935" s="400"/>
      <x:c r="I1935" s="392"/>
      <x:c r="J1935" t="str">
        <x:f>IF($B1935="","",IF(COUNTIF(Account_Map!$A$6:$A$31,$B1935)&gt;0,"Mapped","UNMAPPED"))</x:f>
      </x:c>
    </x:row>
    <x:row r="1936">
      <x:c r="A1936" s="290"/>
      <x:c r="F1936" s="400"/>
      <x:c r="I1936" s="392"/>
      <x:c r="J1936" t="str">
        <x:f>IF($B1936="","",IF(COUNTIF(Account_Map!$A$6:$A$31,$B1936)&gt;0,"Mapped","UNMAPPED"))</x:f>
      </x:c>
    </x:row>
    <x:row r="1937">
      <x:c r="A1937" s="290"/>
      <x:c r="F1937" s="400"/>
      <x:c r="I1937" s="392"/>
      <x:c r="J1937" t="str">
        <x:f>IF($B1937="","",IF(COUNTIF(Account_Map!$A$6:$A$31,$B1937)&gt;0,"Mapped","UNMAPPED"))</x:f>
      </x:c>
    </x:row>
    <x:row r="1938">
      <x:c r="A1938" s="290"/>
      <x:c r="F1938" s="400"/>
      <x:c r="I1938" s="392"/>
      <x:c r="J1938" t="str">
        <x:f>IF($B1938="","",IF(COUNTIF(Account_Map!$A$6:$A$31,$B1938)&gt;0,"Mapped","UNMAPPED"))</x:f>
      </x:c>
    </x:row>
    <x:row r="1939">
      <x:c r="A1939" s="290"/>
      <x:c r="F1939" s="400"/>
      <x:c r="I1939" s="392"/>
      <x:c r="J1939" t="str">
        <x:f>IF($B1939="","",IF(COUNTIF(Account_Map!$A$6:$A$31,$B1939)&gt;0,"Mapped","UNMAPPED"))</x:f>
      </x:c>
    </x:row>
    <x:row r="1940">
      <x:c r="A1940" s="290"/>
      <x:c r="F1940" s="400"/>
      <x:c r="I1940" s="392"/>
      <x:c r="J1940" t="str">
        <x:f>IF($B1940="","",IF(COUNTIF(Account_Map!$A$6:$A$31,$B1940)&gt;0,"Mapped","UNMAPPED"))</x:f>
      </x:c>
    </x:row>
    <x:row r="1941">
      <x:c r="A1941" s="290"/>
      <x:c r="F1941" s="400"/>
      <x:c r="I1941" s="392"/>
      <x:c r="J1941" t="str">
        <x:f>IF($B1941="","",IF(COUNTIF(Account_Map!$A$6:$A$31,$B1941)&gt;0,"Mapped","UNMAPPED"))</x:f>
      </x:c>
    </x:row>
    <x:row r="1942">
      <x:c r="A1942" s="290"/>
      <x:c r="F1942" s="400"/>
      <x:c r="I1942" s="392"/>
      <x:c r="J1942" t="str">
        <x:f>IF($B1942="","",IF(COUNTIF(Account_Map!$A$6:$A$31,$B1942)&gt;0,"Mapped","UNMAPPED"))</x:f>
      </x:c>
    </x:row>
    <x:row r="1943">
      <x:c r="A1943" s="290"/>
      <x:c r="F1943" s="400"/>
      <x:c r="I1943" s="392"/>
      <x:c r="J1943" t="str">
        <x:f>IF($B1943="","",IF(COUNTIF(Account_Map!$A$6:$A$31,$B1943)&gt;0,"Mapped","UNMAPPED"))</x:f>
      </x:c>
    </x:row>
    <x:row r="1944">
      <x:c r="A1944" s="290"/>
      <x:c r="F1944" s="400"/>
      <x:c r="I1944" s="392"/>
      <x:c r="J1944" t="str">
        <x:f>IF($B1944="","",IF(COUNTIF(Account_Map!$A$6:$A$31,$B1944)&gt;0,"Mapped","UNMAPPED"))</x:f>
      </x:c>
    </x:row>
    <x:row r="1945">
      <x:c r="A1945" s="290"/>
      <x:c r="F1945" s="400"/>
      <x:c r="I1945" s="392"/>
      <x:c r="J1945" t="str">
        <x:f>IF($B1945="","",IF(COUNTIF(Account_Map!$A$6:$A$31,$B1945)&gt;0,"Mapped","UNMAPPED"))</x:f>
      </x:c>
    </x:row>
    <x:row r="1946">
      <x:c r="A1946" s="290"/>
      <x:c r="F1946" s="400"/>
      <x:c r="I1946" s="392"/>
      <x:c r="J1946" t="str">
        <x:f>IF($B1946="","",IF(COUNTIF(Account_Map!$A$6:$A$31,$B1946)&gt;0,"Mapped","UNMAPPED"))</x:f>
      </x:c>
    </x:row>
    <x:row r="1947">
      <x:c r="A1947" s="290"/>
      <x:c r="F1947" s="400"/>
      <x:c r="I1947" s="392"/>
      <x:c r="J1947" t="str">
        <x:f>IF($B1947="","",IF(COUNTIF(Account_Map!$A$6:$A$31,$B1947)&gt;0,"Mapped","UNMAPPED"))</x:f>
      </x:c>
    </x:row>
    <x:row r="1948">
      <x:c r="A1948" s="290"/>
      <x:c r="F1948" s="400"/>
      <x:c r="I1948" s="392"/>
      <x:c r="J1948" t="str">
        <x:f>IF($B1948="","",IF(COUNTIF(Account_Map!$A$6:$A$31,$B1948)&gt;0,"Mapped","UNMAPPED"))</x:f>
      </x:c>
    </x:row>
    <x:row r="1949">
      <x:c r="A1949" s="290"/>
      <x:c r="F1949" s="400"/>
      <x:c r="I1949" s="392"/>
      <x:c r="J1949" t="str">
        <x:f>IF($B1949="","",IF(COUNTIF(Account_Map!$A$6:$A$31,$B1949)&gt;0,"Mapped","UNMAPPED"))</x:f>
      </x:c>
    </x:row>
    <x:row r="1950">
      <x:c r="A1950" s="290"/>
      <x:c r="F1950" s="400"/>
      <x:c r="I1950" s="392"/>
      <x:c r="J1950" t="str">
        <x:f>IF($B1950="","",IF(COUNTIF(Account_Map!$A$6:$A$31,$B1950)&gt;0,"Mapped","UNMAPPED"))</x:f>
      </x:c>
    </x:row>
    <x:row r="1951">
      <x:c r="A1951" s="290"/>
      <x:c r="F1951" s="400"/>
      <x:c r="I1951" s="392"/>
      <x:c r="J1951" t="str">
        <x:f>IF($B1951="","",IF(COUNTIF(Account_Map!$A$6:$A$31,$B1951)&gt;0,"Mapped","UNMAPPED"))</x:f>
      </x:c>
    </x:row>
    <x:row r="1952">
      <x:c r="A1952" s="290"/>
      <x:c r="F1952" s="400"/>
      <x:c r="I1952" s="392"/>
      <x:c r="J1952" t="str">
        <x:f>IF($B1952="","",IF(COUNTIF(Account_Map!$A$6:$A$31,$B1952)&gt;0,"Mapped","UNMAPPED"))</x:f>
      </x:c>
    </x:row>
    <x:row r="1953">
      <x:c r="A1953" s="290"/>
      <x:c r="F1953" s="400"/>
      <x:c r="I1953" s="392"/>
      <x:c r="J1953" t="str">
        <x:f>IF($B1953="","",IF(COUNTIF(Account_Map!$A$6:$A$31,$B1953)&gt;0,"Mapped","UNMAPPED"))</x:f>
      </x:c>
    </x:row>
    <x:row r="1954">
      <x:c r="A1954" s="290"/>
      <x:c r="F1954" s="400"/>
      <x:c r="I1954" s="392"/>
      <x:c r="J1954" t="str">
        <x:f>IF($B1954="","",IF(COUNTIF(Account_Map!$A$6:$A$31,$B1954)&gt;0,"Mapped","UNMAPPED"))</x:f>
      </x:c>
    </x:row>
    <x:row r="1955">
      <x:c r="A1955" s="290"/>
      <x:c r="F1955" s="400"/>
      <x:c r="I1955" s="392"/>
      <x:c r="J1955" t="str">
        <x:f>IF($B1955="","",IF(COUNTIF(Account_Map!$A$6:$A$31,$B1955)&gt;0,"Mapped","UNMAPPED"))</x:f>
      </x:c>
    </x:row>
    <x:row r="1956">
      <x:c r="A1956" s="290"/>
      <x:c r="F1956" s="400"/>
      <x:c r="I1956" s="392"/>
      <x:c r="J1956" t="str">
        <x:f>IF($B1956="","",IF(COUNTIF(Account_Map!$A$6:$A$31,$B1956)&gt;0,"Mapped","UNMAPPED"))</x:f>
      </x:c>
    </x:row>
    <x:row r="1957">
      <x:c r="A1957" s="290"/>
      <x:c r="F1957" s="400"/>
      <x:c r="I1957" s="392"/>
      <x:c r="J1957" t="str">
        <x:f>IF($B1957="","",IF(COUNTIF(Account_Map!$A$6:$A$31,$B1957)&gt;0,"Mapped","UNMAPPED"))</x:f>
      </x:c>
    </x:row>
    <x:row r="1958">
      <x:c r="A1958" s="290"/>
      <x:c r="F1958" s="400"/>
      <x:c r="I1958" s="392"/>
      <x:c r="J1958" t="str">
        <x:f>IF($B1958="","",IF(COUNTIF(Account_Map!$A$6:$A$31,$B1958)&gt;0,"Mapped","UNMAPPED"))</x:f>
      </x:c>
    </x:row>
    <x:row r="1959">
      <x:c r="A1959" s="290"/>
      <x:c r="F1959" s="400"/>
      <x:c r="I1959" s="392"/>
      <x:c r="J1959" t="str">
        <x:f>IF($B1959="","",IF(COUNTIF(Account_Map!$A$6:$A$31,$B1959)&gt;0,"Mapped","UNMAPPED"))</x:f>
      </x:c>
    </x:row>
    <x:row r="1960">
      <x:c r="A1960" s="290"/>
      <x:c r="F1960" s="400"/>
      <x:c r="I1960" s="392"/>
      <x:c r="J1960" t="str">
        <x:f>IF($B1960="","",IF(COUNTIF(Account_Map!$A$6:$A$31,$B1960)&gt;0,"Mapped","UNMAPPED"))</x:f>
      </x:c>
    </x:row>
    <x:row r="1961">
      <x:c r="A1961" s="290"/>
      <x:c r="F1961" s="400"/>
      <x:c r="I1961" s="392"/>
      <x:c r="J1961" t="str">
        <x:f>IF($B1961="","",IF(COUNTIF(Account_Map!$A$6:$A$31,$B1961)&gt;0,"Mapped","UNMAPPED"))</x:f>
      </x:c>
    </x:row>
    <x:row r="1962">
      <x:c r="A1962" s="290"/>
      <x:c r="F1962" s="400"/>
      <x:c r="I1962" s="392"/>
      <x:c r="J1962" t="str">
        <x:f>IF($B1962="","",IF(COUNTIF(Account_Map!$A$6:$A$31,$B1962)&gt;0,"Mapped","UNMAPPED"))</x:f>
      </x:c>
    </x:row>
    <x:row r="1963">
      <x:c r="A1963" s="290"/>
      <x:c r="F1963" s="400"/>
      <x:c r="I1963" s="392"/>
      <x:c r="J1963" t="str">
        <x:f>IF($B1963="","",IF(COUNTIF(Account_Map!$A$6:$A$31,$B1963)&gt;0,"Mapped","UNMAPPED"))</x:f>
      </x:c>
    </x:row>
    <x:row r="1964">
      <x:c r="A1964" s="290"/>
      <x:c r="F1964" s="400"/>
      <x:c r="I1964" s="392"/>
      <x:c r="J1964" t="str">
        <x:f>IF($B1964="","",IF(COUNTIF(Account_Map!$A$6:$A$31,$B1964)&gt;0,"Mapped","UNMAPPED"))</x:f>
      </x:c>
    </x:row>
    <x:row r="1965">
      <x:c r="A1965" s="290"/>
      <x:c r="F1965" s="400"/>
      <x:c r="I1965" s="392"/>
      <x:c r="J1965" t="str">
        <x:f>IF($B1965="","",IF(COUNTIF(Account_Map!$A$6:$A$31,$B1965)&gt;0,"Mapped","UNMAPPED"))</x:f>
      </x:c>
    </x:row>
    <x:row r="1966">
      <x:c r="A1966" s="290"/>
      <x:c r="F1966" s="400"/>
      <x:c r="I1966" s="392"/>
      <x:c r="J1966" t="str">
        <x:f>IF($B1966="","",IF(COUNTIF(Account_Map!$A$6:$A$31,$B1966)&gt;0,"Mapped","UNMAPPED"))</x:f>
      </x:c>
    </x:row>
    <x:row r="1967">
      <x:c r="A1967" s="290"/>
      <x:c r="F1967" s="400"/>
      <x:c r="I1967" s="392"/>
      <x:c r="J1967" t="str">
        <x:f>IF($B1967="","",IF(COUNTIF(Account_Map!$A$6:$A$31,$B1967)&gt;0,"Mapped","UNMAPPED"))</x:f>
      </x:c>
    </x:row>
    <x:row r="1968">
      <x:c r="A1968" s="290"/>
      <x:c r="F1968" s="400"/>
      <x:c r="I1968" s="392"/>
      <x:c r="J1968" t="str">
        <x:f>IF($B1968="","",IF(COUNTIF(Account_Map!$A$6:$A$31,$B1968)&gt;0,"Mapped","UNMAPPED"))</x:f>
      </x:c>
    </x:row>
    <x:row r="1969">
      <x:c r="A1969" s="290"/>
      <x:c r="F1969" s="400"/>
      <x:c r="I1969" s="392"/>
      <x:c r="J1969" t="str">
        <x:f>IF($B1969="","",IF(COUNTIF(Account_Map!$A$6:$A$31,$B1969)&gt;0,"Mapped","UNMAPPED"))</x:f>
      </x:c>
    </x:row>
    <x:row r="1970">
      <x:c r="A1970" s="290"/>
      <x:c r="F1970" s="400"/>
      <x:c r="I1970" s="392"/>
      <x:c r="J1970" t="str">
        <x:f>IF($B1970="","",IF(COUNTIF(Account_Map!$A$6:$A$31,$B1970)&gt;0,"Mapped","UNMAPPED"))</x:f>
      </x:c>
    </x:row>
    <x:row r="1971">
      <x:c r="A1971" s="290"/>
      <x:c r="F1971" s="400"/>
      <x:c r="I1971" s="392"/>
      <x:c r="J1971" t="str">
        <x:f>IF($B1971="","",IF(COUNTIF(Account_Map!$A$6:$A$31,$B1971)&gt;0,"Mapped","UNMAPPED"))</x:f>
      </x:c>
    </x:row>
    <x:row r="1972">
      <x:c r="A1972" s="290"/>
      <x:c r="F1972" s="400"/>
      <x:c r="I1972" s="392"/>
      <x:c r="J1972" t="str">
        <x:f>IF($B1972="","",IF(COUNTIF(Account_Map!$A$6:$A$31,$B1972)&gt;0,"Mapped","UNMAPPED"))</x:f>
      </x:c>
    </x:row>
    <x:row r="1973">
      <x:c r="A1973" s="290"/>
      <x:c r="F1973" s="400"/>
      <x:c r="I1973" s="392"/>
      <x:c r="J1973" t="str">
        <x:f>IF($B1973="","",IF(COUNTIF(Account_Map!$A$6:$A$31,$B1973)&gt;0,"Mapped","UNMAPPED"))</x:f>
      </x:c>
    </x:row>
    <x:row r="1974">
      <x:c r="A1974" s="290"/>
      <x:c r="F1974" s="400"/>
      <x:c r="I1974" s="392"/>
      <x:c r="J1974" t="str">
        <x:f>IF($B1974="","",IF(COUNTIF(Account_Map!$A$6:$A$31,$B1974)&gt;0,"Mapped","UNMAPPED"))</x:f>
      </x:c>
    </x:row>
    <x:row r="1975">
      <x:c r="A1975" s="290"/>
      <x:c r="F1975" s="400"/>
      <x:c r="I1975" s="392"/>
      <x:c r="J1975" t="str">
        <x:f>IF($B1975="","",IF(COUNTIF(Account_Map!$A$6:$A$31,$B1975)&gt;0,"Mapped","UNMAPPED"))</x:f>
      </x:c>
    </x:row>
    <x:row r="1976">
      <x:c r="A1976" s="290"/>
      <x:c r="F1976" s="400"/>
      <x:c r="I1976" s="392"/>
      <x:c r="J1976" t="str">
        <x:f>IF($B1976="","",IF(COUNTIF(Account_Map!$A$6:$A$31,$B1976)&gt;0,"Mapped","UNMAPPED"))</x:f>
      </x:c>
    </x:row>
    <x:row r="1977">
      <x:c r="A1977" s="290"/>
      <x:c r="F1977" s="400"/>
      <x:c r="I1977" s="392"/>
      <x:c r="J1977" t="str">
        <x:f>IF($B1977="","",IF(COUNTIF(Account_Map!$A$6:$A$31,$B1977)&gt;0,"Mapped","UNMAPPED"))</x:f>
      </x:c>
    </x:row>
    <x:row r="1978">
      <x:c r="A1978" s="290"/>
      <x:c r="F1978" s="400"/>
      <x:c r="I1978" s="392"/>
      <x:c r="J1978" t="str">
        <x:f>IF($B1978="","",IF(COUNTIF(Account_Map!$A$6:$A$31,$B1978)&gt;0,"Mapped","UNMAPPED"))</x:f>
      </x:c>
    </x:row>
    <x:row r="1979">
      <x:c r="A1979" s="290"/>
      <x:c r="F1979" s="400"/>
      <x:c r="I1979" s="392"/>
      <x:c r="J1979" t="str">
        <x:f>IF($B1979="","",IF(COUNTIF(Account_Map!$A$6:$A$31,$B1979)&gt;0,"Mapped","UNMAPPED"))</x:f>
      </x:c>
    </x:row>
    <x:row r="1980">
      <x:c r="A1980" s="290"/>
      <x:c r="F1980" s="400"/>
      <x:c r="I1980" s="392"/>
      <x:c r="J1980" t="str">
        <x:f>IF($B1980="","",IF(COUNTIF(Account_Map!$A$6:$A$31,$B1980)&gt;0,"Mapped","UNMAPPED"))</x:f>
      </x:c>
    </x:row>
    <x:row r="1981">
      <x:c r="A1981" s="290"/>
      <x:c r="F1981" s="400"/>
      <x:c r="I1981" s="392"/>
      <x:c r="J1981" t="str">
        <x:f>IF($B1981="","",IF(COUNTIF(Account_Map!$A$6:$A$31,$B1981)&gt;0,"Mapped","UNMAPPED"))</x:f>
      </x:c>
    </x:row>
    <x:row r="1982">
      <x:c r="A1982" s="290"/>
      <x:c r="F1982" s="400"/>
      <x:c r="I1982" s="392"/>
      <x:c r="J1982" t="str">
        <x:f>IF($B1982="","",IF(COUNTIF(Account_Map!$A$6:$A$31,$B1982)&gt;0,"Mapped","UNMAPPED"))</x:f>
      </x:c>
    </x:row>
    <x:row r="1983">
      <x:c r="A1983" s="290"/>
      <x:c r="F1983" s="400"/>
      <x:c r="I1983" s="392"/>
      <x:c r="J1983" t="str">
        <x:f>IF($B1983="","",IF(COUNTIF(Account_Map!$A$6:$A$31,$B1983)&gt;0,"Mapped","UNMAPPED"))</x:f>
      </x:c>
    </x:row>
    <x:row r="1984">
      <x:c r="A1984" s="290"/>
      <x:c r="F1984" s="400"/>
      <x:c r="I1984" s="392"/>
      <x:c r="J1984" t="str">
        <x:f>IF($B1984="","",IF(COUNTIF(Account_Map!$A$6:$A$31,$B1984)&gt;0,"Mapped","UNMAPPED"))</x:f>
      </x:c>
    </x:row>
    <x:row r="1985">
      <x:c r="A1985" s="290"/>
      <x:c r="F1985" s="400"/>
      <x:c r="I1985" s="392"/>
      <x:c r="J1985" t="str">
        <x:f>IF($B1985="","",IF(COUNTIF(Account_Map!$A$6:$A$31,$B1985)&gt;0,"Mapped","UNMAPPED"))</x:f>
      </x:c>
    </x:row>
    <x:row r="1986">
      <x:c r="A1986" s="290"/>
      <x:c r="F1986" s="400"/>
      <x:c r="I1986" s="392"/>
      <x:c r="J1986" t="str">
        <x:f>IF($B1986="","",IF(COUNTIF(Account_Map!$A$6:$A$31,$B1986)&gt;0,"Mapped","UNMAPPED"))</x:f>
      </x:c>
    </x:row>
    <x:row r="1987">
      <x:c r="A1987" s="290"/>
      <x:c r="F1987" s="400"/>
      <x:c r="I1987" s="392"/>
      <x:c r="J1987" t="str">
        <x:f>IF($B1987="","",IF(COUNTIF(Account_Map!$A$6:$A$31,$B1987)&gt;0,"Mapped","UNMAPPED"))</x:f>
      </x:c>
    </x:row>
    <x:row r="1988">
      <x:c r="A1988" s="290"/>
      <x:c r="F1988" s="400"/>
      <x:c r="I1988" s="392"/>
      <x:c r="J1988" t="str">
        <x:f>IF($B1988="","",IF(COUNTIF(Account_Map!$A$6:$A$31,$B1988)&gt;0,"Mapped","UNMAPPED"))</x:f>
      </x:c>
    </x:row>
    <x:row r="1989">
      <x:c r="A1989" s="290"/>
      <x:c r="F1989" s="400"/>
      <x:c r="I1989" s="392"/>
      <x:c r="J1989" t="str">
        <x:f>IF($B1989="","",IF(COUNTIF(Account_Map!$A$6:$A$31,$B1989)&gt;0,"Mapped","UNMAPPED"))</x:f>
      </x:c>
    </x:row>
    <x:row r="1990">
      <x:c r="A1990" s="290"/>
      <x:c r="F1990" s="400"/>
      <x:c r="I1990" s="392"/>
      <x:c r="J1990" t="str">
        <x:f>IF($B1990="","",IF(COUNTIF(Account_Map!$A$6:$A$31,$B1990)&gt;0,"Mapped","UNMAPPED"))</x:f>
      </x:c>
    </x:row>
    <x:row r="1991">
      <x:c r="A1991" s="290"/>
      <x:c r="F1991" s="400"/>
      <x:c r="I1991" s="392"/>
      <x:c r="J1991" t="str">
        <x:f>IF($B1991="","",IF(COUNTIF(Account_Map!$A$6:$A$31,$B1991)&gt;0,"Mapped","UNMAPPED"))</x:f>
      </x:c>
    </x:row>
    <x:row r="1992">
      <x:c r="A1992" s="290"/>
      <x:c r="F1992" s="400"/>
      <x:c r="I1992" s="392"/>
      <x:c r="J1992" t="str">
        <x:f>IF($B1992="","",IF(COUNTIF(Account_Map!$A$6:$A$31,$B1992)&gt;0,"Mapped","UNMAPPED"))</x:f>
      </x:c>
    </x:row>
    <x:row r="1993">
      <x:c r="A1993" s="290"/>
      <x:c r="F1993" s="400"/>
      <x:c r="I1993" s="392"/>
      <x:c r="J1993" t="str">
        <x:f>IF($B1993="","",IF(COUNTIF(Account_Map!$A$6:$A$31,$B1993)&gt;0,"Mapped","UNMAPPED"))</x:f>
      </x:c>
    </x:row>
    <x:row r="1994">
      <x:c r="A1994" s="290"/>
      <x:c r="F1994" s="400"/>
      <x:c r="I1994" s="392"/>
      <x:c r="J1994" t="str">
        <x:f>IF($B1994="","",IF(COUNTIF(Account_Map!$A$6:$A$31,$B1994)&gt;0,"Mapped","UNMAPPED"))</x:f>
      </x:c>
    </x:row>
    <x:row r="1995">
      <x:c r="A1995" s="290"/>
      <x:c r="F1995" s="400"/>
      <x:c r="I1995" s="392"/>
      <x:c r="J1995" t="str">
        <x:f>IF($B1995="","",IF(COUNTIF(Account_Map!$A$6:$A$31,$B1995)&gt;0,"Mapped","UNMAPPED"))</x:f>
      </x:c>
    </x:row>
    <x:row r="1996">
      <x:c r="A1996" s="290"/>
      <x:c r="F1996" s="400"/>
      <x:c r="I1996" s="392"/>
      <x:c r="J1996" t="str">
        <x:f>IF($B1996="","",IF(COUNTIF(Account_Map!$A$6:$A$31,$B1996)&gt;0,"Mapped","UNMAPPED"))</x:f>
      </x:c>
    </x:row>
    <x:row r="1997">
      <x:c r="A1997" s="290"/>
      <x:c r="F1997" s="400"/>
      <x:c r="I1997" s="392"/>
      <x:c r="J1997" t="str">
        <x:f>IF($B1997="","",IF(COUNTIF(Account_Map!$A$6:$A$31,$B1997)&gt;0,"Mapped","UNMAPPED"))</x:f>
      </x:c>
    </x:row>
    <x:row r="1998">
      <x:c r="A1998" s="290"/>
      <x:c r="F1998" s="400"/>
      <x:c r="I1998" s="392"/>
      <x:c r="J1998" t="str">
        <x:f>IF($B1998="","",IF(COUNTIF(Account_Map!$A$6:$A$31,$B1998)&gt;0,"Mapped","UNMAPPED"))</x:f>
      </x:c>
    </x:row>
    <x:row r="1999">
      <x:c r="A1999" s="290"/>
      <x:c r="F1999" s="400"/>
      <x:c r="I1999" s="392"/>
      <x:c r="J1999" t="str">
        <x:f>IF($B1999="","",IF(COUNTIF(Account_Map!$A$6:$A$31,$B1999)&gt;0,"Mapped","UNMAPPED"))</x:f>
      </x:c>
    </x:row>
    <x:row r="2000">
      <x:c r="A2000" s="290"/>
      <x:c r="F2000" s="400"/>
      <x:c r="I2000" s="392"/>
      <x:c r="J2000" t="str">
        <x:f>IF($B2000="","",IF(COUNTIF(Account_Map!$A$6:$A$31,$B2000)&gt;0,"Mapped","UNMAPPED"))</x:f>
      </x:c>
    </x:row>
    <x:row r="2001">
      <x:c r="A2001" s="290"/>
      <x:c r="F2001" s="400"/>
      <x:c r="I2001" s="392"/>
      <x:c r="J2001" t="str">
        <x:f>IF($B2001="","",IF(COUNTIF(Account_Map!$A$6:$A$31,$B2001)&gt;0,"Mapped","UNMAPPED"))</x:f>
      </x:c>
    </x:row>
    <x:row r="2002">
      <x:c r="A2002" s="290"/>
      <x:c r="F2002" s="400"/>
      <x:c r="I2002" s="392"/>
      <x:c r="J2002" t="str">
        <x:f>IF($B2002="","",IF(COUNTIF(Account_Map!$A$6:$A$31,$B2002)&gt;0,"Mapped","UNMAPPED"))</x:f>
      </x:c>
    </x:row>
    <x:row r="2003">
      <x:c r="A2003" s="290"/>
      <x:c r="F2003" s="400"/>
      <x:c r="I2003" s="392"/>
      <x:c r="J2003" t="str">
        <x:f>IF($B2003="","",IF(COUNTIF(Account_Map!$A$6:$A$31,$B2003)&gt;0,"Mapped","UNMAPPED"))</x:f>
      </x:c>
    </x:row>
    <x:row r="2004">
      <x:c r="A2004" s="290"/>
      <x:c r="F2004" s="400"/>
      <x:c r="I2004" s="392"/>
      <x:c r="J2004" t="str">
        <x:f>IF($B2004="","",IF(COUNTIF(Account_Map!$A$6:$A$31,$B2004)&gt;0,"Mapped","UNMAPPED"))</x:f>
      </x:c>
    </x:row>
    <x:row r="2005">
      <x:c r="A2005" s="290"/>
      <x:c r="F2005" s="400"/>
      <x:c r="I2005" s="392"/>
      <x:c r="J2005" t="str">
        <x:f>IF($B2005="","",IF(COUNTIF(Account_Map!$A$6:$A$31,$B2005)&gt;0,"Mapped","UNMAPPED"))</x:f>
      </x:c>
    </x:row>
  </x:sheetData>
  <x:mergeCells>
    <x:mergeCell ref="A1:J1"/>
    <x:mergeCell ref="A2:J2"/>
    <x:mergeCell ref="A4:I4"/>
  </x:mergeCells>
  <x:conditionalFormatting sqref="J6:J2005">
    <x:cfRule type="expression" dxfId="28" priority="1">
      <x:formula>$J6="UNMAPPED"</x:formula>
    </x:cfRule>
    <x:cfRule type="expression" dxfId="29" priority="2">
      <x:formula>$J6="Mapped"</x:formula>
    </x:cfRule>
  </x:conditionalFormatting>
  <x:conditionalFormatting sqref="J6:J218">
    <x:cfRule type="expression" dxfId="51" priority="3">
      <x:formula>J6="Unmapped"</x:formula>
    </x:cfRule>
  </x:conditionalFormatting>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32" hidden="0" customWidth="1"/>
    <x:col min="3" max="3" width="52" hidden="0" customWidth="1"/>
    <x:col min="4" max="4" width="8" hidden="0" customWidth="1"/>
    <x:col min="5" max="5" width="8" hidden="0" customWidth="1"/>
    <x:col min="6" max="6" width="8" hidden="0" customWidth="1"/>
  </x:cols>
  <x:sheetData>
    <x:row r="1" ht="26" customHeight="1">
      <x:c r="A1" s="466" t="str">
        <x:v>AI-Enabled FP&amp;A Automation | Portfolio Release v1.5.1</x:v>
      </x:c>
      <x:c r="B1" s="466"/>
      <x:c r="C1" s="466"/>
      <x:c r="D1" s="466"/>
      <x:c r="E1" s="466"/>
      <x:c r="F1" s="466"/>
    </x:row>
    <x:row r="2" ht="38" customHeight="1">
      <x:c r="A2" s="430" t="str">
        <x:v>Fictional SaaS portfolio project demonstrating end-to-end Excel + Power Query FP&amp;A automation, integrated financial modeling, governance, and AI-assisted management analysis.</x:v>
      </x:c>
      <x:c r="B2" s="430"/>
      <x:c r="C2" s="430"/>
      <x:c r="D2" s="430"/>
      <x:c r="E2" s="430"/>
      <x:c r="F2" s="430"/>
    </x:row>
    <x:row r="3">
      <x:c r="A3" s="315"/>
      <x:c r="B3" s="315"/>
      <x:c r="C3" s="315"/>
      <x:c r="D3" s="315"/>
      <x:c r="E3" s="315"/>
      <x:c r="F3" s="315"/>
    </x:row>
    <x:row r="4">
      <x:c r="A4" s="467" t="str">
        <x:v>60-Second Portfolio Demo</x:v>
      </x:c>
      <x:c r="B4" s="467"/>
      <x:c r="C4" s="467"/>
      <x:c r="D4" s="467"/>
      <x:c r="E4" s="467"/>
      <x:c r="F4" s="467"/>
    </x:row>
    <x:row r="5" ht="28" customHeight="1">
      <x:c r="A5" s="493" t="str">
        <x:v>1</x:v>
      </x:c>
      <x:c r="B5" s="494" t="str">
        <x:v>Start at Control_Center</x:v>
      </x:c>
      <x:c r="C5" s="316" t="str">
        <x:v>Show READY/OK governance controls and current planning snapshot.</x:v>
      </x:c>
      <x:c r="D5" s="315"/>
      <x:c r="E5" s="315"/>
      <x:c r="F5" s="315"/>
    </x:row>
    <x:row r="6" ht="28" customHeight="1">
      <x:c r="A6" s="493" t="str">
        <x:v>2</x:v>
      </x:c>
      <x:c r="B6" s="494" t="str">
        <x:v>Refresh actuals</x:v>
      </x:c>
      <x:c r="C6" s="316" t="str">
        <x:v>Open Power_Query_Control; explain CSV → Power Query → PQ_Actuals governed landing zone.</x:v>
      </x:c>
      <x:c r="D6" s="315"/>
      <x:c r="E6" s="315"/>
      <x:c r="F6" s="315"/>
    </x:row>
    <x:row r="7" ht="28" customHeight="1">
      <x:c r="A7" s="493" t="str">
        <x:v>3</x:v>
      </x:c>
      <x:c r="B7" s="494" t="str">
        <x:v>Validate mapping</x:v>
      </x:c>
      <x:c r="C7" s="316" t="str">
        <x:v>Show zero unmapped rows and the account-map / staging control flow.</x:v>
      </x:c>
      <x:c r="D7" s="315"/>
      <x:c r="E7" s="315"/>
      <x:c r="F7" s="315"/>
    </x:row>
    <x:row r="8" ht="28" customHeight="1">
      <x:c r="A8" s="493" t="str">
        <x:v>4</x:v>
      </x:c>
      <x:c r="B8" s="494" t="str">
        <x:v>Review performance</x:v>
      </x:c>
      <x:c r="C8" s="316" t="str">
        <x:v>Open BvA_Analysis; explain materiality, favorable/unfavorable review, and root-cause vs derived logic.</x:v>
      </x:c>
      <x:c r="D8" s="315"/>
      <x:c r="E8" s="315"/>
      <x:c r="F8" s="315"/>
    </x:row>
    <x:row r="9" ht="28" customHeight="1">
      <x:c r="A9" s="493" t="str">
        <x:v>5</x:v>
      </x:c>
      <x:c r="B9" s="494" t="str">
        <x:v>Update outlook</x:v>
      </x:c>
      <x:c r="C9" s="316" t="str">
        <x:v>Open Rolling_Forecast and Planning_Dashboard; closed months use actuals, future months reforecast automatically.</x:v>
      </x:c>
      <x:c r="D9" s="315"/>
      <x:c r="E9" s="315"/>
      <x:c r="F9" s="315"/>
    </x:row>
    <x:row r="10" ht="28" customHeight="1">
      <x:c r="A10" s="493" t="str">
        <x:v>6</x:v>
      </x:c>
      <x:c r="B10" s="494" t="str">
        <x:v>Generate commentary</x:v>
      </x:c>
      <x:c r="C10" s="316" t="str">
        <x:v>Open AI_Commentary; Excel remains source of truth and AI converts validated outputs into management narrative.</x:v>
      </x:c>
      <x:c r="D10" s="315"/>
      <x:c r="E10" s="315"/>
      <x:c r="F10" s="315"/>
    </x:row>
    <x:row r="11">
      <x:c r="A11" s="315"/>
      <x:c r="B11" s="315"/>
      <x:c r="C11" s="315"/>
      <x:c r="D11" s="315"/>
      <x:c r="E11" s="315"/>
      <x:c r="F11" s="315"/>
    </x:row>
    <x:row r="12">
      <x:c r="A12" s="467" t="str">
        <x:v>Application Architecture</x:v>
      </x:c>
      <x:c r="B12" s="467"/>
      <x:c r="C12" s="467"/>
      <x:c r="D12" s="467"/>
      <x:c r="E12" s="467"/>
      <x:c r="F12" s="467"/>
    </x:row>
    <x:row r="13">
      <x:c r="A13" s="495" t="str">
        <x:v>ERP / GL CSV  →  Power Query  →  PQ_Actuals  →  Account Mapping  →  Actuals Staging  →  3 Statements  →  Budget vs Actual  →  Rolling Forecast  →  Executive Dashboards  →  AI Commentary</x:v>
      </x:c>
      <x:c r="B13" s="495"/>
      <x:c r="C13" s="495"/>
      <x:c r="D13" s="495"/>
      <x:c r="E13" s="495"/>
      <x:c r="F13" s="495"/>
    </x:row>
    <x:row r="14">
      <x:c r="A14" s="495"/>
      <x:c r="B14" s="495"/>
      <x:c r="C14" s="495"/>
      <x:c r="D14" s="495"/>
      <x:c r="E14" s="495"/>
      <x:c r="F14" s="495"/>
    </x:row>
    <x:row r="15">
      <x:c r="A15" s="315"/>
      <x:c r="B15" s="315"/>
      <x:c r="C15" s="315"/>
      <x:c r="D15" s="315"/>
      <x:c r="E15" s="315"/>
      <x:c r="F15" s="315"/>
    </x:row>
    <x:row r="16">
      <x:c r="A16" s="467" t="str">
        <x:v>Capabilities Demonstrated</x:v>
      </x:c>
      <x:c r="B16" s="467"/>
      <x:c r="C16" s="467"/>
      <x:c r="D16" s="467"/>
      <x:c r="E16" s="467"/>
      <x:c r="F16" s="467"/>
    </x:row>
    <x:row r="17" ht="30" customHeight="1">
      <x:c r="A17" s="496" t="str">
        <x:v>Capability</x:v>
      </x:c>
      <x:c r="B17" s="496" t="str">
        <x:v>Evidence in workbook</x:v>
      </x:c>
      <x:c r="C17" s="496" t="str">
        <x:v>Portfolio signal</x:v>
      </x:c>
      <x:c r="D17" s="315"/>
      <x:c r="E17" s="315"/>
      <x:c r="F17" s="315"/>
    </x:row>
    <x:row r="18" ht="36" customHeight="1">
      <x:c r="A18" s="316" t="str">
        <x:v>Integrated 3-statement modeling</x:v>
      </x:c>
      <x:c r="B18" s="316" t="str">
        <x:v>Income Statement, Balance Sheet, Cash Flow, cash/equity roll-forwards</x:v>
      </x:c>
      <x:c r="C18" s="316" t="str">
        <x:v>Financial modeling rigor</x:v>
      </x:c>
      <x:c r="D18" s="315"/>
      <x:c r="E18" s="315"/>
      <x:c r="F18" s="315"/>
    </x:row>
    <x:row r="19" ht="36" customHeight="1">
      <x:c r="A19" s="316" t="str">
        <x:v>Data ingestion automation</x:v>
      </x:c>
      <x:c r="B19" s="316" t="str">
        <x:v>Power Query source path, landing zone, refresh diagnostics</x:v>
      </x:c>
      <x:c r="C19" s="316" t="str">
        <x:v>Excel + Power Query automation</x:v>
      </x:c>
      <x:c r="D19" s="315"/>
      <x:c r="E19" s="315"/>
      <x:c r="F19" s="315"/>
    </x:row>
    <x:row r="20" ht="36" customHeight="1">
      <x:c r="A20" s="316" t="str">
        <x:v>FP&amp;A planning</x:v>
      </x:c>
      <x:c r="B20" s="316" t="str">
        <x:v>Budget, monthly actuals, rolling forecast, long-range scenarios</x:v>
      </x:c>
      <x:c r="C20" s="316" t="str">
        <x:v>Planning / forecasting</x:v>
      </x:c>
      <x:c r="D20" s="315"/>
      <x:c r="E20" s="315"/>
      <x:c r="F20" s="315"/>
    </x:row>
    <x:row r="21" ht="36" customHeight="1">
      <x:c r="A21" s="316" t="str">
        <x:v>Variance intelligence</x:v>
      </x:c>
      <x:c r="B21" s="316" t="str">
        <x:v>Dollar + % materiality, favorable/unfavorable review, root-cause vs derived classification</x:v>
      </x:c>
      <x:c r="C21" s="316" t="str">
        <x:v>Management analysis</x:v>
      </x:c>
      <x:c r="D21" s="315"/>
      <x:c r="E21" s="315"/>
      <x:c r="F21" s="315"/>
    </x:row>
    <x:row r="22" ht="36" customHeight="1">
      <x:c r="A22" s="316" t="str">
        <x:v>Model governance</x:v>
      </x:c>
      <x:c r="B22" s="316" t="str">
        <x:v>Unmapped-account control, balance/cash/equity checks, READY / REVIEW states</x:v>
      </x:c>
      <x:c r="C22" s="316" t="str">
        <x:v>Controllership mindset</x:v>
      </x:c>
      <x:c r="D22" s="315"/>
      <x:c r="E22" s="315"/>
      <x:c r="F22" s="315"/>
    </x:row>
    <x:row r="23" ht="36" customHeight="1">
      <x:c r="A23" s="316" t="str">
        <x:v>Executive reporting</x:v>
      </x:c>
      <x:c r="B23" s="316" t="str">
        <x:v>Planning and long-range dashboards</x:v>
      </x:c>
      <x:c r="C23" s="316" t="str">
        <x:v>Senior-management communication</x:v>
      </x:c>
      <x:c r="D23" s="315"/>
      <x:c r="E23" s="315"/>
      <x:c r="F23" s="315"/>
    </x:row>
    <x:row r="24" ht="36" customHeight="1">
      <x:c r="A24" s="316" t="str">
        <x:v>AI-enabled workflow</x:v>
      </x:c>
      <x:c r="B24" s="316" t="str">
        <x:v>Live validated outputs feed structured management-commentary prompts</x:v>
      </x:c>
      <x:c r="C24" s="316" t="str">
        <x:v>Practical human-in-the-loop AI</x:v>
      </x:c>
      <x:c r="D24" s="315"/>
      <x:c r="E24" s="315"/>
      <x:c r="F24" s="315"/>
    </x:row>
    <x:row r="25">
      <x:c r="A25" s="315"/>
      <x:c r="B25" s="315"/>
      <x:c r="C25" s="315"/>
      <x:c r="D25" s="315"/>
      <x:c r="E25" s="315"/>
      <x:c r="F25" s="315"/>
    </x:row>
    <x:row r="26">
      <x:c r="A26" s="467" t="str">
        <x:v>Model Conventions</x:v>
      </x:c>
      <x:c r="B26" s="467"/>
      <x:c r="C26" s="467"/>
      <x:c r="D26" s="467"/>
      <x:c r="E26" s="467"/>
      <x:c r="F26" s="467"/>
    </x:row>
    <x:row r="27" ht="26" customHeight="1">
      <x:c r="A27" s="496" t="str">
        <x:v>Convention</x:v>
      </x:c>
      <x:c r="B27" s="496" t="str">
        <x:v>Meaning</x:v>
      </x:c>
      <x:c r="C27" s="496" t="str">
        <x:v>Why it matters</x:v>
      </x:c>
      <x:c r="D27" s="315"/>
      <x:c r="E27" s="315"/>
      <x:c r="F27" s="315"/>
    </x:row>
    <x:row r="28" ht="30" customHeight="1">
      <x:c r="A28" s="497" t="str">
        <x:v>Blue text + yellow fill</x:v>
      </x:c>
      <x:c r="B28" s="316" t="str">
        <x:v>User-editable assumption / input</x:v>
      </x:c>
      <x:c r="C28" s="316" t="str">
        <x:v>Makes scenario drivers immediately identifiable</x:v>
      </x:c>
      <x:c r="D28" s="315"/>
      <x:c r="E28" s="315"/>
      <x:c r="F28" s="315"/>
    </x:row>
    <x:row r="29" ht="30" customHeight="1">
      <x:c r="A29" s="498" t="str">
        <x:v>Green text</x:v>
      </x:c>
      <x:c r="B29" s="316" t="str">
        <x:v>Linked value from another worksheet</x:v>
      </x:c>
      <x:c r="C29" s="316" t="str">
        <x:v>Separates worksheet links from calculations</x:v>
      </x:c>
      <x:c r="D29" s="315"/>
      <x:c r="E29" s="315"/>
      <x:c r="F29" s="315"/>
    </x:row>
    <x:row r="30" ht="30" customHeight="1">
      <x:c r="A30" s="499" t="str">
        <x:v>Black text</x:v>
      </x:c>
      <x:c r="B30" s="316" t="str">
        <x:v>Formula / calculation</x:v>
      </x:c>
      <x:c r="C30" s="316" t="str">
        <x:v>Standard financial-model calculation convention</x:v>
      </x:c>
      <x:c r="D30" s="315"/>
      <x:c r="E30" s="315"/>
      <x:c r="F30" s="315"/>
    </x:row>
    <x:row r="31" ht="30" customHeight="1">
      <x:c r="A31" s="500" t="str">
        <x:v>Red text</x:v>
      </x:c>
      <x:c r="B31" s="316" t="str">
        <x:v>External link / file source</x:v>
      </x:c>
      <x:c r="C31" s="316" t="str">
        <x:v>Makes external dependencies visible</x:v>
      </x:c>
      <x:c r="D31" s="315"/>
      <x:c r="E31" s="315"/>
      <x:c r="F31" s="315"/>
    </x:row>
    <x:row r="32">
      <x:c r="A32" s="315"/>
      <x:c r="B32" s="315"/>
      <x:c r="C32" s="315"/>
      <x:c r="D32" s="315"/>
      <x:c r="E32" s="315"/>
      <x:c r="F32" s="315"/>
    </x:row>
    <x:row r="33">
      <x:c r="A33" s="467" t="str">
        <x:v>Version History</x:v>
      </x:c>
      <x:c r="B33" s="467"/>
      <x:c r="C33" s="467"/>
      <x:c r="D33" s="467"/>
      <x:c r="E33" s="467"/>
      <x:c r="F33" s="467"/>
    </x:row>
    <x:row r="34" ht="26" customHeight="1">
      <x:c r="A34" s="496" t="str">
        <x:v>Version</x:v>
      </x:c>
      <x:c r="B34" s="496" t="str">
        <x:v>Deliverable</x:v>
      </x:c>
      <x:c r="C34" s="496" t="str">
        <x:v>Status</x:v>
      </x:c>
      <x:c r="D34" s="315"/>
      <x:c r="E34" s="315"/>
      <x:c r="F34" s="315"/>
    </x:row>
    <x:row r="35" ht="32" customHeight="1">
      <x:c r="A35" s="316" t="str">
        <x:v>v1.0</x:v>
      </x:c>
      <x:c r="B35" s="316" t="str">
        <x:v>Integrated annual 3-statement model + scenarios + dashboards + AI prompt</x:v>
      </x:c>
      <x:c r="C35" s="316" t="str">
        <x:v>Built</x:v>
      </x:c>
      <x:c r="D35" s="315"/>
      <x:c r="E35" s="315"/>
      <x:c r="F35" s="315"/>
    </x:row>
    <x:row r="36" ht="32" customHeight="1">
      <x:c r="A36" s="316" t="str">
        <x:v>v1.1</x:v>
      </x:c>
      <x:c r="B36" s="316" t="str">
        <x:v>Automated actuals import / account mapping / staging controls</x:v>
      </x:c>
      <x:c r="C36" s="316" t="str">
        <x:v>Built</x:v>
      </x:c>
      <x:c r="D36" s="315"/>
      <x:c r="E36" s="315"/>
      <x:c r="F36" s="315"/>
    </x:row>
    <x:row r="37" ht="32" customHeight="1">
      <x:c r="A37" s="316" t="str">
        <x:v>v1.2</x:v>
      </x:c>
      <x:c r="B37" s="316" t="str">
        <x:v>Budget vs Actual + automated rolling forecast + planning dashboard</x:v>
      </x:c>
      <x:c r="C37" s="316" t="str">
        <x:v>Built</x:v>
      </x:c>
      <x:c r="D37" s="315"/>
      <x:c r="E37" s="315"/>
      <x:c r="F37" s="315"/>
    </x:row>
    <x:row r="38" ht="32" customHeight="1">
      <x:c r="A38" s="316" t="str">
        <x:v>v1.2.1</x:v>
      </x:c>
      <x:c r="B38" s="316" t="str">
        <x:v>Variance intelligence: favorable/unfavorable + root-cause / derived classification</x:v>
      </x:c>
      <x:c r="C38" s="316" t="str">
        <x:v>Built</x:v>
      </x:c>
      <x:c r="D38" s="315"/>
      <x:c r="E38" s="315"/>
      <x:c r="F38" s="315"/>
    </x:row>
    <x:row r="39" ht="32" customHeight="1">
      <x:c r="A39" s="316" t="str">
        <x:v>v1.3</x:v>
      </x:c>
      <x:c r="B39" s="316" t="str">
        <x:v>Power Query refresh workflow + governed data landing zone</x:v>
      </x:c>
      <x:c r="C39" s="316" t="str">
        <x:v>Built</x:v>
      </x:c>
      <x:c r="D39" s="315"/>
      <x:c r="E39" s="315"/>
      <x:c r="F39" s="315"/>
    </x:row>
    <x:row r="40" ht="32" customHeight="1">
      <x:c r="A40" s="316" t="str">
        <x:v>v1.4</x:v>
      </x:c>
      <x:c r="B40" s="316" t="str">
        <x:v>Application shell / FP&amp;A Command Center / workflow navigation</x:v>
      </x:c>
      <x:c r="C40" s="316" t="str">
        <x:v>Built</x:v>
      </x:c>
      <x:c r="D40" s="315"/>
      <x:c r="E40" s="315"/>
      <x:c r="F40" s="315"/>
    </x:row>
    <x:row r="41" ht="32" customHeight="1">
      <x:c r="A41" s="316" t="str">
        <x:v>v1.5</x:v>
      </x:c>
      <x:c r="B41" s="316" t="str">
        <x:v>Portfolio-release polish, guide, consistent UX, and demo flow</x:v>
      </x:c>
      <x:c r="C41" s="501" t="str">
        <x:v>RELEASE</x:v>
      </x:c>
      <x:c r="D41" s="315"/>
      <x:c r="E41" s="315"/>
      <x:c r="F41" s="315"/>
    </x:row>
    <x:row r="42">
      <x:c r="A42" s="315" t="str">
        <x:v>v1.5.1</x:v>
      </x:c>
      <x:c r="B42" s="315" t="str">
        <x:v>Usability patch: status-driven controls, cleaner refresh workflow, and navigation/readability improvements</x:v>
      </x:c>
      <x:c r="C42" s="315" t="str">
        <x:v>RELEASE PATCH</x:v>
      </x:c>
      <x:c r="D42" s="315"/>
      <x:c r="E42" s="315"/>
      <x:c r="F42" s="315"/>
    </x:row>
    <x:row r="43">
      <x:c r="A43" s="467" t="str">
        <x:v>Resume / Interview Positioning</x:v>
      </x:c>
      <x:c r="B43" s="467"/>
      <x:c r="C43" s="467"/>
      <x:c r="D43" s="467"/>
      <x:c r="E43" s="467"/>
      <x:c r="F43" s="467"/>
    </x:row>
    <x:row r="44" ht="24" customHeight="1">
      <x:c r="A44" s="483" t="str">
        <x:v>Resume bullet: Built an AI-enabled FP&amp;A automation application in Excel integrating Power Query-based ERP/GL ingestion, automated account mapping and staging, integrated three-statement forecasting, Budget vs Actual variance intelligence, rolling forecasts, executive dashboards, financial controls, and human-in-the-loop AI management commentary.</x:v>
      </x:c>
      <x:c r="B44" s="483"/>
      <x:c r="C44" s="483"/>
      <x:c r="D44" s="483"/>
      <x:c r="E44" s="483"/>
      <x:c r="F44" s="483"/>
    </x:row>
    <x:row r="45" ht="24" customHeight="1">
      <x:c r="A45" s="483"/>
      <x:c r="B45" s="483"/>
      <x:c r="C45" s="483"/>
      <x:c r="D45" s="483"/>
      <x:c r="E45" s="483"/>
      <x:c r="F45" s="483"/>
    </x:row>
    <x:row r="46" ht="24" customHeight="1">
      <x:c r="A46" s="483"/>
      <x:c r="B46" s="483"/>
      <x:c r="C46" s="483"/>
      <x:c r="D46" s="483"/>
      <x:c r="E46" s="483"/>
      <x:c r="F46" s="483"/>
    </x:row>
    <x:row r="47">
      <x:c r="A47" s="315"/>
      <x:c r="B47" s="315"/>
      <x:c r="C47" s="315"/>
      <x:c r="D47" s="315"/>
      <x:c r="E47" s="315"/>
      <x:c r="F47" s="315"/>
    </x:row>
    <x:row r="48" ht="24" customHeight="1">
      <x:c r="A48" s="485" t="str">
        <x:v>Interview story: Excel is the controlled financial engine and source of truth. Power Query automates ingestion, mapping and staging govern the data, the model performs planning and forecasting, controls validate integrity, and AI sits downstream to accelerate narrative analysis rather than replacing financial judgment.</x:v>
      </x:c>
      <x:c r="B48" s="485"/>
      <x:c r="C48" s="485"/>
      <x:c r="D48" s="485"/>
      <x:c r="E48" s="485"/>
      <x:c r="F48" s="485"/>
    </x:row>
    <x:row r="49" ht="24" customHeight="1">
      <x:c r="A49" s="485"/>
      <x:c r="B49" s="485"/>
      <x:c r="C49" s="485"/>
      <x:c r="D49" s="485"/>
      <x:c r="E49" s="485"/>
      <x:c r="F49" s="485"/>
    </x:row>
    <x:row r="50" ht="24" customHeight="1">
      <x:c r="A50" s="485"/>
      <x:c r="B50" s="485"/>
      <x:c r="C50" s="485"/>
      <x:c r="D50" s="485"/>
      <x:c r="E50" s="485"/>
      <x:c r="F50" s="485"/>
    </x:row>
    <x:row r="51" ht="24" customHeight="1">
      <x:c r="A51" s="485"/>
      <x:c r="B51" s="485"/>
      <x:c r="C51" s="485"/>
      <x:c r="D51" s="485"/>
      <x:c r="E51" s="485"/>
      <x:c r="F51" s="485"/>
    </x:row>
    <x:row r="52">
      <x:c r="A52" s="315"/>
      <x:c r="B52" s="315"/>
      <x:c r="C52" s="315"/>
      <x:c r="D52" s="315"/>
      <x:c r="E52" s="315"/>
      <x:c r="F52" s="315"/>
    </x:row>
    <x:row r="53">
      <x:c r="A53" s="467" t="str">
        <x:v>Release Notes &amp; Disclaimer</x:v>
      </x:c>
      <x:c r="B53" s="467"/>
      <x:c r="C53" s="467"/>
      <x:c r="D53" s="467"/>
      <x:c r="E53" s="467"/>
      <x:c r="F53" s="467"/>
    </x:row>
    <x:row r="54" ht="24" customHeight="1">
      <x:c r="A54" s="430" t="str">
        <x:v>v1.5.1 is the portfolio-release usability patch. All company names, financial values, source exports, operating assumptions, and results are synthetic and created solely for demonstration. No employer or client confidential data is included.</x:v>
      </x:c>
      <x:c r="B54" s="430"/>
      <x:c r="C54" s="430"/>
      <x:c r="D54" s="430"/>
      <x:c r="E54" s="430"/>
      <x:c r="F54" s="430"/>
    </x:row>
    <x:row r="55" ht="24" customHeight="1">
      <x:c r="A55" s="430"/>
      <x:c r="B55" s="430"/>
      <x:c r="C55" s="430"/>
      <x:c r="D55" s="430"/>
      <x:c r="E55" s="430"/>
      <x:c r="F55" s="430"/>
    </x:row>
    <x:row r="56" ht="24" customHeight="1">
      <x:c r="A56" s="430"/>
      <x:c r="B56" s="430"/>
      <x:c r="C56" s="430"/>
      <x:c r="D56" s="430"/>
      <x:c r="E56" s="430"/>
      <x:c r="F56" s="430"/>
    </x:row>
    <x:row r="57">
      <x:c r="A57" s="315"/>
      <x:c r="B57" s="315"/>
      <x:c r="C57" s="315"/>
      <x:c r="D57" s="315"/>
      <x:c r="E57" s="315"/>
      <x:c r="F57" s="315"/>
    </x:row>
    <x:row r="58">
      <x:c r="A58" s="315"/>
      <x:c r="B58" s="315"/>
      <x:c r="C58" s="315"/>
      <x:c r="D58" s="315"/>
      <x:c r="E58" s="502" t="e">
        <x:f>HYPERLINK("#'Control_Center'!A1","Return to FP&amp;A Command Center")</x:f>
        <x:v>HYPERLINK is not implemented. linkLocation=#'Control_Center'!A1, friendlyName=Return to FP&amp;A Command Center</x:v>
      </x:c>
      <x:c r="F58" s="502"/>
    </x:row>
    <x:row r="59">
      <x:c r="A59" s="315"/>
      <x:c r="B59" s="315"/>
      <x:c r="C59" s="315"/>
      <x:c r="D59" s="315"/>
      <x:c r="E59" s="315"/>
      <x:c r="F59" s="315"/>
    </x:row>
    <x:row r="60">
      <x:c r="A60" s="315"/>
      <x:c r="B60" s="315"/>
      <x:c r="C60" s="315"/>
      <x:c r="D60" s="315"/>
      <x:c r="E60" s="315"/>
      <x:c r="F60" s="315"/>
    </x:row>
  </x:sheetData>
  <x:mergeCells>
    <x:mergeCell ref="A1:F1"/>
    <x:mergeCell ref="A2:F2"/>
    <x:mergeCell ref="A4:F4"/>
    <x:mergeCell ref="A12:F12"/>
    <x:mergeCell ref="A13:F14"/>
    <x:mergeCell ref="A16:F16"/>
    <x:mergeCell ref="A26:F26"/>
    <x:mergeCell ref="A33:F33"/>
    <x:mergeCell ref="A43:F43"/>
    <x:mergeCell ref="A44:F46"/>
    <x:mergeCell ref="A48:F51"/>
    <x:mergeCell ref="A53:F53"/>
    <x:mergeCell ref="A54:F56"/>
    <x:mergeCell ref="E58:F58"/>
  </x:mergeCells>
  <x:pageMargins left="0.7" right="0.7" top="0.75" bottom="0.75" header="0.3" footer="0.3"/>
</x:worksheet>
</file>